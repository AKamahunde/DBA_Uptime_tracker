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ba\CascadeProjects\windsurf-project\"/>
    </mc:Choice>
  </mc:AlternateContent>
  <xr:revisionPtr revIDLastSave="0" documentId="13_ncr:1_{3E40DA22-D96D-4323-B7B5-7C50C490991F}" xr6:coauthVersionLast="36" xr6:coauthVersionMax="36" xr10:uidLastSave="{00000000-0000-0000-0000-000000000000}"/>
  <bookViews>
    <workbookView xWindow="0" yWindow="0" windowWidth="16380" windowHeight="8196" tabRatio="500" firstSheet="2" activeTab="2" xr2:uid="{00000000-000D-0000-FFFF-FFFF00000000}"/>
  </bookViews>
  <sheets>
    <sheet name="Charts" sheetId="11" r:id="rId1"/>
    <sheet name="Dashboard" sheetId="2" r:id="rId2"/>
    <sheet name="Incident Register" sheetId="3" r:id="rId3"/>
    <sheet name="Replication Monitor" sheetId="4" r:id="rId4"/>
    <sheet name="Backup &amp; Recovery" sheetId="5" r:id="rId5"/>
    <sheet name="Server Health" sheetId="6" r:id="rId6"/>
    <sheet name="Availability Calculator" sheetId="7" r:id="rId7"/>
    <sheet name="Maintenance Register" sheetId="8" r:id="rId8"/>
    <sheet name="Capacity Planning" sheetId="9" r:id="rId9"/>
  </sheets>
  <externalReferences>
    <externalReference r:id="rId10"/>
  </externalReferences>
  <definedNames>
    <definedName name="ExternalData_1" localSheetId="6" hidden="1">'Availability Calculator'!$A$1:$I$9</definedName>
    <definedName name="ExternalData_1" localSheetId="4" hidden="1">'Backup &amp; Recovery'!$A$1:$P$40</definedName>
    <definedName name="ExternalData_1" localSheetId="8" hidden="1">'Capacity Planning'!$A$1:$H$10</definedName>
    <definedName name="ExternalData_1" localSheetId="2" hidden="1">'Incident Register'!$A$1:$M$19</definedName>
    <definedName name="ExternalData_1" localSheetId="7" hidden="1">'Maintenance Register'!$A$1:$K$7</definedName>
    <definedName name="ExternalData_1" localSheetId="3" hidden="1">'Replication Monitor'!$A$1:$J$32</definedName>
    <definedName name="ExternalData_1" localSheetId="5" hidden="1">'Server Health'!$A$1:$K$487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7" i="2" l="1"/>
  <c r="D7" i="2"/>
  <c r="I10" i="2"/>
  <c r="I9" i="2"/>
  <c r="I8" i="2"/>
  <c r="I7" i="2"/>
  <c r="F8" i="2"/>
  <c r="F9" i="2"/>
  <c r="F10" i="2"/>
  <c r="F7" i="2"/>
  <c r="B8" i="2"/>
  <c r="B9" i="2"/>
  <c r="B10" i="2"/>
  <c r="B7" i="2"/>
  <c r="C7" i="2"/>
  <c r="C8" i="2"/>
  <c r="H8" i="2"/>
  <c r="H9" i="2"/>
  <c r="H10" i="2"/>
  <c r="H7" i="2"/>
  <c r="B29" i="2" l="1"/>
  <c r="F26" i="2"/>
  <c r="E26" i="2"/>
  <c r="D26" i="2"/>
  <c r="C26" i="2"/>
  <c r="B26" i="2"/>
  <c r="A26" i="2"/>
  <c r="A23" i="2"/>
  <c r="O17" i="2"/>
  <c r="O19" i="2" s="1"/>
  <c r="N17" i="2"/>
  <c r="N19" i="2" s="1"/>
  <c r="M17" i="2"/>
  <c r="M19" i="2" s="1"/>
  <c r="L17" i="2"/>
  <c r="L19" i="2" s="1"/>
  <c r="K17" i="2"/>
  <c r="K19" i="2" s="1"/>
  <c r="J17" i="2"/>
  <c r="J19" i="2" s="1"/>
  <c r="I17" i="2"/>
  <c r="I19" i="2" s="1"/>
  <c r="H17" i="2"/>
  <c r="H19" i="2" s="1"/>
  <c r="G17" i="2"/>
  <c r="G19" i="2" s="1"/>
  <c r="F17" i="2"/>
  <c r="F19" i="2" s="1"/>
  <c r="E17" i="2"/>
  <c r="E19" i="2" s="1"/>
  <c r="D19" i="2"/>
  <c r="C17" i="2"/>
  <c r="C19" i="2" s="1"/>
  <c r="A14" i="2"/>
  <c r="J10" i="2"/>
  <c r="G10" i="2"/>
  <c r="E10" i="2"/>
  <c r="D10" i="2"/>
  <c r="C10" i="2"/>
  <c r="J9" i="2"/>
  <c r="G9" i="2"/>
  <c r="E9" i="2"/>
  <c r="D9" i="2"/>
  <c r="C9" i="2"/>
  <c r="J8" i="2"/>
  <c r="G8" i="2"/>
  <c r="E8" i="2"/>
  <c r="D8" i="2"/>
  <c r="J7" i="2"/>
  <c r="G7" i="2"/>
  <c r="E7" i="2"/>
  <c r="D2" i="2"/>
  <c r="B17" i="2" l="1"/>
  <c r="B19" i="2" s="1"/>
  <c r="G2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5E2384-CB72-464B-9445-1442756BEDDD}" keepAlive="1" name="Query - vw_availability_calculator" description="Connection to the 'vw_availability_calculator' query in the workbook." type="5" refreshedVersion="6" background="1" saveData="1">
    <dbPr connection="Provider=Microsoft.Mashup.OleDb.1;Data Source=$Workbook$;Location=vw_availability_calculator;Extended Properties=&quot;&quot;" command="SELECT * FROM [vw_availability_calculator]"/>
  </connection>
  <connection id="2" xr16:uid="{7587A276-5CF8-4A10-A0BC-10E8FFD240CF}" keepAlive="1" name="Query - vw_backup_recovery" description="Connection to the 'vw_backup_recovery' query in the workbook." type="5" refreshedVersion="6" background="1" saveData="1">
    <dbPr connection="Provider=Microsoft.Mashup.OleDb.1;Data Source=$Workbook$;Location=vw_backup_recovery;Extended Properties=&quot;&quot;" command="SELECT * FROM [vw_backup_recovery]"/>
  </connection>
  <connection id="3" xr16:uid="{38EBC400-7D22-4CF4-9CDA-B8B3FA1A085D}" keepAlive="1" name="Query - vw_capacity_planning" description="Connection to the 'vw_capacity_planning' query in the workbook." type="5" refreshedVersion="6" background="1" saveData="1">
    <dbPr connection="Provider=Microsoft.Mashup.OleDb.1;Data Source=$Workbook$;Location=vw_capacity_planning;Extended Properties=&quot;&quot;" command="SELECT * FROM [vw_capacity_planning]"/>
  </connection>
  <connection id="4" xr16:uid="{4EB3B2AA-8333-4605-B438-15796D11A4E3}" keepAlive="1" name="Query - vw_incident_register" description="Connection to the 'vw_incident_register' query in the workbook." type="5" refreshedVersion="6" background="1" saveData="1">
    <dbPr connection="Provider=Microsoft.Mashup.OleDb.1;Data Source=$Workbook$;Location=vw_incident_register;Extended Properties=&quot;&quot;" command="SELECT * FROM [vw_incident_register]"/>
  </connection>
  <connection id="5" xr16:uid="{645ADCC4-ED32-4DDD-990D-15297A2D0AC4}" keepAlive="1" name="Query - vw_maintenance_register" description="Connection to the 'vw_maintenance_register' query in the workbook." type="5" refreshedVersion="6" background="1" saveData="1">
    <dbPr connection="Provider=Microsoft.Mashup.OleDb.1;Data Source=$Workbook$;Location=vw_maintenance_register;Extended Properties=&quot;&quot;" command="SELECT * FROM [vw_maintenance_register]"/>
  </connection>
  <connection id="6" xr16:uid="{45751CB6-314F-407E-81DB-9179EF76055D}" keepAlive="1" name="Query - vw_replication_monitor" description="Connection to the 'vw_replication_monitor' query in the workbook." type="5" refreshedVersion="6" background="1" saveData="1">
    <dbPr connection="Provider=Microsoft.Mashup.OleDb.1;Data Source=$Workbook$;Location=vw_replication_monitor;Extended Properties=&quot;&quot;" command="SELECT * FROM [vw_replication_monitor]"/>
  </connection>
  <connection id="7" xr16:uid="{285E1306-64BD-4CEA-B66C-022885A176B1}" keepAlive="1" name="Query - vw_server_health" description="Connection to the 'vw_server_health' query in the workbook." type="5" refreshedVersion="6" background="1">
    <dbPr connection="Provider=Microsoft.Mashup.OleDb.1;Data Source=$Workbook$;Location=vw_server_health;Extended Properties=&quot;&quot;" command="SELECT * FROM [vw_server_health]"/>
  </connection>
  <connection id="8" xr16:uid="{80BCA910-8C6A-4951-9A39-C847B88B2546}" keepAlive="1" name="Query - vw_server_health (2)" description="Connection to the 'vw_server_health (2)' query in the workbook." type="5" refreshedVersion="6" background="1" saveData="1">
    <dbPr connection="Provider=Microsoft.Mashup.OleDb.1;Data Source=$Workbook$;Location=vw_server_health (2);Extended Properties=&quot;&quot;" command="SELECT * FROM [vw_server_health (2)]"/>
  </connection>
</connections>
</file>

<file path=xl/sharedStrings.xml><?xml version="1.0" encoding="utf-8"?>
<sst xmlns="http://schemas.openxmlformats.org/spreadsheetml/2006/main" count="2574" uniqueCount="255">
  <si>
    <t>Severity</t>
  </si>
  <si>
    <t>Status</t>
  </si>
  <si>
    <t>Critical</t>
  </si>
  <si>
    <t>Success</t>
  </si>
  <si>
    <t>Failed</t>
  </si>
  <si>
    <t>Medium</t>
  </si>
  <si>
    <t>Low</t>
  </si>
  <si>
    <t>Database</t>
  </si>
  <si>
    <t>CPU %</t>
  </si>
  <si>
    <t>Memory %</t>
  </si>
  <si>
    <t>Disk %</t>
  </si>
  <si>
    <t>Oracle</t>
  </si>
  <si>
    <t>MySQL</t>
  </si>
  <si>
    <t>MS SQL Server</t>
  </si>
  <si>
    <t>PostgreSQL</t>
  </si>
  <si>
    <t>Availability %</t>
  </si>
  <si>
    <t>Dashboard</t>
  </si>
  <si>
    <t>Select Database:</t>
  </si>
  <si>
    <t>All Databases</t>
  </si>
  <si>
    <t>Side-by-side comparison across all monitored databases, with detail for the selected database below.</t>
  </si>
  <si>
    <t>Overall Availability %</t>
  </si>
  <si>
    <t>Planned Downtime (hrs)</t>
  </si>
  <si>
    <t>Unplanned Downtime (hrs)</t>
  </si>
  <si>
    <t>Total Incidents</t>
  </si>
  <si>
    <t>MTTR (mins)</t>
  </si>
  <si>
    <t>Backup Success %</t>
  </si>
  <si>
    <t>Restore Success %</t>
  </si>
  <si>
    <t>Replication Status</t>
  </si>
  <si>
    <t>Failed Backups</t>
  </si>
  <si>
    <t>Database Detail</t>
  </si>
  <si>
    <t>Metric</t>
  </si>
  <si>
    <t>Overall Availability</t>
  </si>
  <si>
    <t>MTTR</t>
  </si>
  <si>
    <t>Backup Success Rate</t>
  </si>
  <si>
    <t>Restore Success Rate</t>
  </si>
  <si>
    <t>Last Successful Full Backup</t>
  </si>
  <si>
    <t>Last Successful Incremental Backup</t>
  </si>
  <si>
    <t>Last DR Test</t>
  </si>
  <si>
    <t>Failed Restore Tests</t>
  </si>
  <si>
    <t>Replication Lag</t>
  </si>
  <si>
    <t>Current</t>
  </si>
  <si>
    <t>Target</t>
  </si>
  <si>
    <t>≤ 48 hrs</t>
  </si>
  <si>
    <t>≤ 2 hrs</t>
  </si>
  <si>
    <t xml:space="preserve">≤ 4/month </t>
  </si>
  <si>
    <t>≤ 4 hrs</t>
  </si>
  <si>
    <t>≥ 95%</t>
  </si>
  <si>
    <t>≥ 80%</t>
  </si>
  <si>
    <t>Healthy</t>
  </si>
  <si>
    <t>&lt; 7 days</t>
  </si>
  <si>
    <t>&lt; 24 hrs</t>
  </si>
  <si>
    <t>&lt;2 minutes</t>
  </si>
  <si>
    <t>Incident Status Breakdown</t>
  </si>
  <si>
    <t>Open</t>
  </si>
  <si>
    <t>In Progress</t>
  </si>
  <si>
    <t>Resolved</t>
  </si>
  <si>
    <t>Closed</t>
  </si>
  <si>
    <t>On Hold</t>
  </si>
  <si>
    <t>Total</t>
  </si>
  <si>
    <t xml:space="preserve">Last Updated </t>
  </si>
  <si>
    <t>Ticket</t>
  </si>
  <si>
    <t>Date</t>
  </si>
  <si>
    <t>Start</t>
  </si>
  <si>
    <t>End</t>
  </si>
  <si>
    <t>Duration (hrs)</t>
  </si>
  <si>
    <t>Planned</t>
  </si>
  <si>
    <t>System</t>
  </si>
  <si>
    <t>Root Cause</t>
  </si>
  <si>
    <t>Business Impact</t>
  </si>
  <si>
    <t>Resolved By</t>
  </si>
  <si>
    <t>No</t>
  </si>
  <si>
    <t>Check Date</t>
  </si>
  <si>
    <t>Master</t>
  </si>
  <si>
    <t>Replica</t>
  </si>
  <si>
    <t>IO Thread</t>
  </si>
  <si>
    <t>SQL Thread</t>
  </si>
  <si>
    <t>Seconds Behind</t>
  </si>
  <si>
    <t>Last Error</t>
  </si>
  <si>
    <t>192.168.35.46</t>
  </si>
  <si>
    <t>nickeldbdr</t>
  </si>
  <si>
    <t>Yes</t>
  </si>
  <si>
    <t>Backup</t>
  </si>
  <si>
    <t>nickledbnew</t>
  </si>
  <si>
    <t>Incremental</t>
  </si>
  <si>
    <t>nickeldb_2026-07-01_20-59-02_inc.tar.gz</t>
  </si>
  <si>
    <t>/nfsdata/backup/incremental/nickeldb_2026-07-01_20-59-02_inc.tar.gz</t>
  </si>
  <si>
    <t>nickeldb_2026-07-02_20-59-01_inc.tar.gz</t>
  </si>
  <si>
    <t>/nfsdata/backup/incremental/nickeldb_2026-07-02_20-59-01_inc.tar.gz</t>
  </si>
  <si>
    <t>Full</t>
  </si>
  <si>
    <t>nickeldb_2026-07-04_20-59-01_full.sql.gz</t>
  </si>
  <si>
    <t>/nfsdata/backup/full/nickeldb_2026-07-04_20-59-01_full.sql.gz</t>
  </si>
  <si>
    <t>nickeldb_2026-07-05_20-59-01_inc.tar.gz</t>
  </si>
  <si>
    <t>/nfsdata/backup/incremental/nickeldb_2026-07-05_20-59-01_inc.tar.gz</t>
  </si>
  <si>
    <t>nickeldb_2026-07-06_20-59-01_inc.tar.gz</t>
  </si>
  <si>
    <t>/nfsdata/backup/incremental/nickeldb_2026-07-06_20-59-01_inc.tar.gz</t>
  </si>
  <si>
    <t>nickeldb_2026-07-07_20-59-01_inc.tar.gz</t>
  </si>
  <si>
    <t>/nfsdata/backup/incremental/nickeldb_2026-07-07_20-59-01_inc.tar.gz</t>
  </si>
  <si>
    <t>nickeldb_2026-07-08_20-59-01_inc.tar.gz</t>
  </si>
  <si>
    <t>/nfsdata/backup/incremental/nickeldb_2026-07-08_20-59-01_inc.tar.gz</t>
  </si>
  <si>
    <t>nickeldb_2026-07-09_20-59-01_inc.tar.gz</t>
  </si>
  <si>
    <t>/nfsdata/backup/incremental/nickeldb_2026-07-09_20-59-01_inc.tar.gz</t>
  </si>
  <si>
    <t>nickeldb_2026-07-10_20-59-01_inc.tar.gz</t>
  </si>
  <si>
    <t>/nfsdata/backup/incremental/nickeldb_2026-07-10_20-59-01_inc.tar.gz</t>
  </si>
  <si>
    <t>nickeldb_2026-07-11_20-59-01_full.sql.gz</t>
  </si>
  <si>
    <t>/nfsdata/backup/full/nickeldb_2026-07-11_20-59-01_full.sql.gz</t>
  </si>
  <si>
    <t>nickeldb_2026-07-12_20-59-01_inc.tar.gz</t>
  </si>
  <si>
    <t>/nfsdata/backup/incremental/nickeldb_2026-07-12_20-59-01_inc.tar.gz</t>
  </si>
  <si>
    <t>nickeldb_2026-07-13_20-59-01_inc.tar.gz</t>
  </si>
  <si>
    <t>/nfsdata/backup/incremental/nickeldb_2026-07-13_20-59-01_inc.tar.gz</t>
  </si>
  <si>
    <t>nickeldb_2026-07-14_20-59-01_inc.tar.gz</t>
  </si>
  <si>
    <t>/nfsdata/backup/incremental/nickeldb_2026-07-14_20-59-01_inc.tar.gz</t>
  </si>
  <si>
    <t>nickeldb_2026-07-15_20-59-01_inc.tar.gz</t>
  </si>
  <si>
    <t>/nfsdata/backup/incremental/nickeldb_2026-07-15_20-59-01_inc.tar.gz</t>
  </si>
  <si>
    <t>nickeldb_2026-07-16_20-59-01_inc.tar.gz</t>
  </si>
  <si>
    <t>/nfsdata/backup/incremental/nickeldb_2026-07-16_20-59-01_inc.tar.gz</t>
  </si>
  <si>
    <t>nickeldb_2026-07-17_20-59-01_inc.tar.gz</t>
  </si>
  <si>
    <t>/nfsdata/backup/incremental/nickeldb_2026-07-17_20-59-01_inc.tar.gz</t>
  </si>
  <si>
    <t>nickeldb_2026-07-18_20-59-01_full.sql.gz</t>
  </si>
  <si>
    <t>/nfsdata/backup/full/nickeldb_2026-07-18_20-59-01_full.sql.gz</t>
  </si>
  <si>
    <t>nickeldb_2026-07-19_20-59-01_inc.tar.gz</t>
  </si>
  <si>
    <t>/nfsdata/backup/incremental/nickeldb_2026-07-19_20-59-01_inc.tar.gz</t>
  </si>
  <si>
    <t>nickeldb_2026-07-20_20-59-01_inc.tar.gz</t>
  </si>
  <si>
    <t>/nfsdata/backup/incremental/nickeldb_2026-07-20_20-59-01_inc.tar.gz</t>
  </si>
  <si>
    <t>nickeldb_2026-07-21_20-59-01_inc.tar.gz</t>
  </si>
  <si>
    <t>/nfsdata/backup/incremental/nickeldb_2026-07-21_20-59-01_inc.tar.gz</t>
  </si>
  <si>
    <t>nickeldb_2026-07-23_20-59-01_inc.tar.gz</t>
  </si>
  <si>
    <t>/nfsdata/backup/incremental/nickeldb_2026-07-23_20-59-01_inc.tar.gz</t>
  </si>
  <si>
    <t>Server</t>
  </si>
  <si>
    <t>Tablespace %</t>
  </si>
  <si>
    <t>Connections</t>
  </si>
  <si>
    <t>Slow Queries</t>
  </si>
  <si>
    <t>Threads</t>
  </si>
  <si>
    <t>Health Status</t>
  </si>
  <si>
    <t>Warning</t>
  </si>
  <si>
    <t>Month-Year</t>
  </si>
  <si>
    <t>Target Hours</t>
  </si>
  <si>
    <t>Hours Achieved</t>
  </si>
  <si>
    <t>SLA %</t>
  </si>
  <si>
    <t>2026-07</t>
  </si>
  <si>
    <t>Change ID</t>
  </si>
  <si>
    <t>Activity</t>
  </si>
  <si>
    <t>Risk</t>
  </si>
  <si>
    <t>Rollback Plan</t>
  </si>
  <si>
    <t>Approved By</t>
  </si>
  <si>
    <t>Database Size (GB)</t>
  </si>
  <si>
    <t>Disk Used %</t>
  </si>
  <si>
    <t>Tablespace Used %</t>
  </si>
  <si>
    <t>Largest Table</t>
  </si>
  <si>
    <t>Growth (GB)</t>
  </si>
  <si>
    <t>note</t>
  </si>
  <si>
    <t>Record Type</t>
  </si>
  <si>
    <t>Backup Date</t>
  </si>
  <si>
    <t>Instance</t>
  </si>
  <si>
    <t>Backup Type</t>
  </si>
  <si>
    <t>Backup File / Reference</t>
  </si>
  <si>
    <t>Start Time</t>
  </si>
  <si>
    <t>End Time</t>
  </si>
  <si>
    <t>Outcome</t>
  </si>
  <si>
    <t>Location</t>
  </si>
  <si>
    <t>Verified</t>
  </si>
  <si>
    <t>Restore Tested</t>
  </si>
  <si>
    <t>Compression</t>
  </si>
  <si>
    <t>Tested By</t>
  </si>
  <si>
    <t>Comments</t>
  </si>
  <si>
    <t/>
  </si>
  <si>
    <t>nickeldb_2026-07-24_20-59-01_inc.tar.gz</t>
  </si>
  <si>
    <t>/nfsdata/backup/incremental/nickeldb_2026-07-24_20-59-01_inc.tar.gz</t>
  </si>
  <si>
    <t>nickeldb_2026-07-25_20-59-01_full.sql.gz</t>
  </si>
  <si>
    <t>/nfsdata/backup/full/nickeldb_2026-07-25_20-59-01_full.sql.gz</t>
  </si>
  <si>
    <t>nickeldb_2026-07-26_20-59-01_inc.tar.gz</t>
  </si>
  <si>
    <t>/nfsdata/backup/incremental/nickeldb_2026-07-26_20-59-01_inc.tar.gz</t>
  </si>
  <si>
    <t>nickeldb_2026-07-28_20-59-01_inc.tar.gz</t>
  </si>
  <si>
    <t>/nfsdata/backup/incremental/nickeldb_2026-07-28_20-59-01_inc.tar.gz</t>
  </si>
  <si>
    <t>SLA Status</t>
  </si>
  <si>
    <t>N/A</t>
  </si>
  <si>
    <t>MKInsight - NationalMedical - Live</t>
  </si>
  <si>
    <t>D:\Backups to Mapped folder\05072026 - Live</t>
  </si>
  <si>
    <t>D:\Backups to Mapped folder\12072026 - Live</t>
  </si>
  <si>
    <t>D:\Backups to Mapped folder\21072026 -Live</t>
  </si>
  <si>
    <t>D:\Backups to Mapped folder\27072026 - Live</t>
  </si>
  <si>
    <t>Met</t>
  </si>
  <si>
    <t>≥ 99.95%</t>
  </si>
  <si>
    <t>AUTO-SELF-HEAL-260701-0925</t>
  </si>
  <si>
    <t>Awaiting DBA business impact assessment.</t>
  </si>
  <si>
    <t>AUTO-SELF-HEAL-260703-1631</t>
  </si>
  <si>
    <t>AUTO-SELF-HEAL-260728-0645</t>
  </si>
  <si>
    <t>AUTO-SELF-HEAL-260726-0654</t>
  </si>
  <si>
    <t>nmsinfra (DB)</t>
  </si>
  <si>
    <t>AUTO-LOGGED: Oracle Database outage detected by OEM.
DBA Summary: [CRITICAL OUTAGE - SERVICE DOWN]
Oracle Enterprise Manager (OEM) registered a 'Target Down' event for the target 'INFRA_nmsinfra.nms.go.ug'.
The service was offline during this period.</t>
  </si>
  <si>
    <t>AUTO-SELF-HEAL-260726-0653</t>
  </si>
  <si>
    <t>AUTO-LOGGED: Oracle Database outage detected by OEM.
DBA Summary: [CRITICAL OUTAGE - SERVICE DOWN]
Oracle Enterprise Manager (OEM) registered a 'Agent Down' event for the target 'INFRA_nmsinfra.nms.go.ug'.
The service was offline during this period.</t>
  </si>
  <si>
    <t>AUTO-SELF-HEAL-260726-0650</t>
  </si>
  <si>
    <t>AUTO-LOGGED: Oracle Database outage detected by OEM._x000D_
_x000D_
DBA Summary: [CRITICAL OUTAGE - SERVICE DOWN]_x000D_
Oracle Enterprise Manager (OEM) registered a 'Target Down' event for the target 'INFRA_nmsinfra.nms.go.ug'._x000D_
The service was offline during this period.</t>
  </si>
  <si>
    <t>AUTO-SELF-HEAL-260726-0649</t>
  </si>
  <si>
    <t>nmsebs (App)</t>
  </si>
  <si>
    <t>AUTO-LOGGED: EBS Application Server Host outage detected by OEM.
DBA Summary: [CRITICAL OUTAGE - SERVICE DOWN]
Oracle Enterprise Manager (OEM) registered a 'Agent Down' event for the target 'nmsebs.nms.go.ug'.
The service was offline during this period.</t>
  </si>
  <si>
    <t>nickeldb_2026-07-29_20-59-01_inc.tar.gz</t>
  </si>
  <si>
    <t>/nfsdata/backup/incremental/nickeldb_2026-07-29_20-59-01_inc.tar.gz</t>
  </si>
  <si>
    <t>05072026 - Live (0.697 GB)</t>
  </si>
  <si>
    <t>12072026 - Live (0.697 GB)</t>
  </si>
  <si>
    <t>21072026 -Live (0.698 GB)</t>
  </si>
  <si>
    <t>27072026 - Live (0.698 GB)</t>
  </si>
  <si>
    <t>INFRA_nmsinfra.nms.go.ug</t>
  </si>
  <si>
    <t>RMAN Backupset (Size: 1509.37 GB)</t>
  </si>
  <si>
    <t>RMAN Catalog / OEM Metrics</t>
  </si>
  <si>
    <t>RMAN Backupset (Size: 699.5 MB)</t>
  </si>
  <si>
    <t>nmsinfra.nms.go.ug (DB)</t>
  </si>
  <si>
    <t>nmsebs.nms.go.ug (APP)</t>
  </si>
  <si>
    <t>AUTO-SELF-HEAL-260730-1849</t>
  </si>
  <si>
    <t>AUTO-SELF-HEAL-260730-1848</t>
  </si>
  <si>
    <t>AUTO-SELF-HEAL-260730-1846</t>
  </si>
  <si>
    <t>AUTO-SELF-HEAL-260730-1845</t>
  </si>
  <si>
    <t>AUTO-LOGGED: EBS Application Server Host outage detected by OEM._x000D_
_x000D_
DBA Summary: [CRITICAL OUTAGE - SERVICE DOWN]_x000D_
Oracle Enterprise Manager (OEM) registered a 'Agent Down' event for the target 'nmsebs.nms.go.ug'._x000D_
The service was offline during this period.</t>
  </si>
  <si>
    <t>nickeldb_2026-07-30_20-59-01_inc.tar.gz</t>
  </si>
  <si>
    <t>/nfsdata/backup/incremental/nickeldb_2026-07-30_20-59-01_inc.tar.gz</t>
  </si>
  <si>
    <t>Available (GB)</t>
  </si>
  <si>
    <t>20.00</t>
  </si>
  <si>
    <t>ObjectBinary</t>
  </si>
  <si>
    <t>37.84</t>
  </si>
  <si>
    <t>SYS_AUDIT / DATA_TABLE</t>
  </si>
  <si>
    <t>37.21</t>
  </si>
  <si>
    <t>&lt; 12 months</t>
  </si>
  <si>
    <t>AUTO-LOGGED: Graceful Restart detected._x000D_
_x000D_
DBA Summary: [UNPLANNED MAINTENANCE - CLEAN RESTART]_x000D_
WARNING: This graceful restart occurred OUTSIDE of a scheduled maintenance window._x000D_
A system administrator or update script initiated a graceful shutdown and restart of the database service._x000D_
The service stopped cleanly and started back up._x000D_
_x000D_
Raw Journal Logs:_x000D_
Jul 01 09:25:52 nickledbnew systemd[1]: Stopping mysql.service - MySQL Community Server..._x000D_
Jul 01 09:26:17 nickledbnew systemd[1]: mysql.service: Deactivated successfully._x000D_
Jul 01 09:26:17 nickledbnew systemd[1]: Stopped mysql.service - MySQL Community Server._x000D_
Jul 01 09:26:17 nickledbnew systemd[1]: mysql.service: Consumed 6d 12h 57min 10.125s CPU time._x000D_
Jul 01 09:26:17 nickledbnew systemd[1]: Starting mysql.service - MySQL Community Server..._x000D_
Jul 01 09:26:33 nickledbnew systemd[1]: Started mysql.service - MySQL Community Server.</t>
  </si>
  <si>
    <t>System self-healed</t>
  </si>
  <si>
    <t>AUTO-LOGGED: Graceful Restart detected._x000D_
_x000D_
DBA Summary: [UNPLANNED MAINTENANCE - CLEAN RESTART]_x000D_
WARNING: This graceful restart occurred OUTSIDE of a scheduled maintenance window._x000D_
A system administrator or update script initiated a graceful shutdown and restart of the database service._x000D_
The service stopped cleanly and started back up._x000D_
_x000D_
Raw Journal Logs:_x000D_
Jul 03 16:31:39 nickledbnew systemd[1]: Stopping mysql.service - MySQL Community Server..._x000D_
Jul 03 16:34:31 nickledbnew systemd[1]: mysql.service: Deactivated successfully._x000D_
Jul 03 16:34:31 nickledbnew systemd[1]: Stopped mysql.service - MySQL Community Server._x000D_
Jul 03 16:34:31 nickledbnew systemd[1]: mysql.service: Consumed 1w 2d 3h 52min 13.132s CPU time, 29.1G memory peak, 1.3G memory swap peak._x000D_
Jul 03 16:34:31 nickledbnew systemd[1]: Starting mysql.service - MySQL Community Server..._x000D_
Jul 03 16:34:39 nickledbnew systemd[1]: Started mysql.service - MySQL Community Server.</t>
  </si>
  <si>
    <t>AUTO-LOGGED: Graceful Restart detected._x000D_
_x000D_
DBA Summary: [UNPLANNED MAINTENANCE - CLEAN RESTART]_x000D_
WARNING: This graceful restart occurred OUTSIDE of a scheduled maintenance window._x000D_
A system administrator or update script initiated a graceful shutdown and restart of the database service._x000D_
The service stopped cleanly and started back up._x000D_
_x000D_
Raw Journal Logs:_x000D_
Jul 28 06:45:12 nickledbnew systemd[1]: Stopping mysql.service - MySQL Community Server..._x000D_
Jul 28 06:46:09 nickledbnew systemd[1]: mysql.service: Deactivated successfully._x000D_
Jul 28 06:46:09 nickledbnew systemd[1]: Stopped mysql.service - MySQL Community Server._x000D_
Jul 28 06:46:09 nickledbnew systemd[1]: mysql.service: Consumed 1month 1w 20h 11min 27.967s CPU time, 29.4G memory peak, 17.1G memory swap peak._x000D_
Jul 28 06:46:09 nickledbnew systemd[1]: Starting mysql.service - MySQL Community Server..._x000D_
Jul 28 06:46:17 nickledbnew systemd[1]: Started mysql.service - MySQL Community Server.</t>
  </si>
  <si>
    <t>AUTO-SELF-HEAL-260731-0630</t>
  </si>
  <si>
    <t>AUTO-LOGGED: Graceful Restart detected._x000D_
_x000D_
DBA Summary: [UNPLANNED MAINTENANCE - CLEAN RESTART]_x000D_
WARNING: This graceful restart occurred OUTSIDE of a scheduled maintenance window._x000D_
A system administrator or update script initiated a graceful shutdown and restart of the database service._x000D_
The service stopped cleanly and started back up._x000D_
_x000D_
Raw Journal Logs:_x000D_
Jul 31 06:30:36 nickledbnew systemd[1]: Stopping mysql.service - MySQL Community Server..._x000D_
Jul 31 06:30:55 nickledbnew systemd[1]: mysql.service: Deactivated successfully._x000D_
Jul 31 06:30:55 nickledbnew systemd[1]: Stopped mysql.service - MySQL Community Server._x000D_
Jul 31 06:30:55 nickledbnew systemd[1]: mysql.service: Consumed 5d 12h 26min 7.241s CPU time, 21.3G memory peak, 0B memory swap peak._x000D_
Jul 31 06:30:55 nickledbnew systemd[1]: Starting mysql.service - MySQL Community Server..._x000D_
Jul 31 06:31:03 nickledbnew systemd[1]: Started mysql.service - MySQL Community Server.</t>
  </si>
  <si>
    <t>T-260715-1838</t>
  </si>
  <si>
    <t>AUTO-LOGGED: Oracle Database outage detected by OEM._x000D_
_x000D_
DBA Summary: [CRITICAL OUTAGE - SERVICE DOWN]_x000D_
Oracle Enterprise Manager (OEM) registered a 'Agent Down' event for the target 'INFRA_nmsinfra.nms.go.ug'._x000D_
The service was offline during this period.</t>
  </si>
  <si>
    <t>Increasing resources on the oracle database server to improve the system-slowness issue that was being faced during night shift</t>
  </si>
  <si>
    <t>Nelson Kirungi and Denis Ojok</t>
  </si>
  <si>
    <t>T-260715-1836</t>
  </si>
  <si>
    <t>The system self-healed</t>
  </si>
  <si>
    <t>RMAN Backupset (Size: 518.76 GB)</t>
  </si>
  <si>
    <t>Direct DB V$RMAN catalog</t>
  </si>
  <si>
    <t>RMAN Backupset (Size: 518.35 GB)</t>
  </si>
  <si>
    <t>RMAN Backupset (Size: 508.99 GB)</t>
  </si>
  <si>
    <t>nickeldb_2026-07-31_20-59-01_inc.tar.gz</t>
  </si>
  <si>
    <t>/nfsdata/backup/incremental/nickeldb_2026-07-31_20-59-01_inc.tar.gz</t>
  </si>
  <si>
    <t>nickeldb_2026-08-01_20-59-01_full.sql.gz</t>
  </si>
  <si>
    <t>/nfsdata/backup/full/nickeldb_2026-08-01_20-59-01_full.sql.gz</t>
  </si>
  <si>
    <t>2026-08</t>
  </si>
  <si>
    <t>Planned Incident Outage: AUTO-LOGGED: Oracle Database outage detected by OEM._x000D_
_x000D_
DBA Summary: [CRITICAL OUTAGE - SERVICE DOWN]_x000D_
Oracle Enterprise Manager (OEM) registered a 'Agent Down' event for the target 'INFRA_nmsinfra.nms.go.ug'._x000D_
The service was offline during this period.</t>
  </si>
  <si>
    <t>Awaiting DBA input.</t>
  </si>
  <si>
    <t>System Administration</t>
  </si>
  <si>
    <t>Planned Incident Outage: AUTO-LOGGED: EBS Application Server Host outage detected by OEM._x000D_
_x000D_
DBA Summary: [CRITICAL OUTAGE - SERVICE DOWN]_x000D_
Oracle Enterprise Manager (OEM) registered a 'Agent Down' event for the target 'nmsebs.nms.go.ug'._x000D_
The service was offline during this period.</t>
  </si>
  <si>
    <t>Planned Incident Outage: AUTO-LOGGED: Oracle Database outage detected by OEM._x000D_
_x000D_
DBA Summary: [CRITICAL OUTAGE - SERVICE DOWN]_x000D_
Oracle Enterprise Manager (OEM) registered a 'Target Down' event for the target 'INFRA_nmsinfra.nms.go.ug'._x000D_
The service was offline during this period.</t>
  </si>
  <si>
    <t>DBA Team</t>
  </si>
  <si>
    <t>37.34</t>
  </si>
  <si>
    <t>37.25</t>
  </si>
  <si>
    <t>nickeldb_2026-08-02_20-59-01_inc.tar.gz</t>
  </si>
  <si>
    <t>/nfsdata/backup/incremental/nickeldb_2026-08-02_20-59-01_inc.tar.gz</t>
  </si>
  <si>
    <t>37.14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</si>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</sst>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\ hh:mm:ss"/>
    <numFmt numFmtId="165" formatCode="0.00;[Red]0.00"/>
    <numFmt numFmtId="166" formatCode="0.00\%"/>
    <numFmt numFmtId="167" formatCode="0.0\%"/>
    <numFmt numFmtId="168" formatCode="[$-F800]dddd&quot;, &quot;mmmm\ dd&quot;, &quot;yyyy"/>
    <numFmt numFmtId="170" formatCode="[$-409]m/d/yy\ h:mm\ AM/PM;@"/>
    <numFmt numFmtId="172" formatCode="[$-409]mmmm\ d&quot;, &quot;yyyy;@"/>
  </numFmts>
  <fonts count="15" x14ac:knownFonts="1">
    <font>
      <sz val="11"/>
      <color theme="1"/>
      <name val="Calibri"/>
      <family val="2"/>
      <charset val="1"/>
    </font>
    <font>
      <sz val="11"/>
      <color theme="1"/>
      <name val="Bookman Old Style"/>
      <family val="1"/>
      <charset val="1"/>
    </font>
    <font>
      <b/>
      <sz val="14"/>
      <color rgb="FFFFFFFF"/>
      <name val="Bookman Old Style"/>
      <family val="1"/>
      <charset val="1"/>
    </font>
    <font>
      <b/>
      <sz val="12"/>
      <name val="Bookman Old Style"/>
      <family val="1"/>
      <charset val="1"/>
    </font>
    <font>
      <b/>
      <sz val="11"/>
      <color theme="1"/>
      <name val="Bookman Old Style"/>
      <family val="1"/>
      <charset val="1"/>
    </font>
    <font>
      <b/>
      <sz val="12"/>
      <color rgb="FF002060"/>
      <name val="Bookman Old Style"/>
      <family val="1"/>
      <charset val="1"/>
    </font>
    <font>
      <i/>
      <sz val="10"/>
      <name val="Bookman Old Style"/>
      <family val="1"/>
      <charset val="1"/>
    </font>
    <font>
      <b/>
      <sz val="11"/>
      <color rgb="FFFFFFFF"/>
      <name val="Bookman Old Style"/>
      <family val="1"/>
      <charset val="1"/>
    </font>
    <font>
      <b/>
      <sz val="13"/>
      <name val="Bookman Old Style"/>
      <family val="1"/>
      <charset val="1"/>
    </font>
    <font>
      <b/>
      <sz val="10"/>
      <name val="Bookman Old Style"/>
      <family val="1"/>
      <charset val="1"/>
    </font>
    <font>
      <i/>
      <sz val="11"/>
      <color theme="1"/>
      <name val="Bookman Old Style"/>
      <family val="1"/>
      <charset val="1"/>
    </font>
    <font>
      <sz val="11"/>
      <color theme="0"/>
      <name val="Calibri"/>
      <family val="2"/>
      <charset val="1"/>
    </font>
    <font>
      <sz val="10"/>
      <color theme="1"/>
      <name val="Bookman Old Style"/>
      <family val="1"/>
      <charset val="1"/>
    </font>
    <font>
      <sz val="10"/>
      <name val="Bookman Old Style"/>
      <family val="1"/>
      <charset val="1"/>
    </font>
    <font>
      <sz val="1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10243E"/>
      </patternFill>
    </fill>
    <fill>
      <patternFill patternType="solid">
        <fgColor theme="4" tint="-0.499984740745262"/>
        <bgColor rgb="FF1F497D"/>
      </patternFill>
    </fill>
    <fill>
      <patternFill patternType="solid">
        <fgColor theme="0"/>
        <bgColor rgb="FFFFF9E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1" fillId="2" borderId="0" xfId="0" applyFont="1" applyFill="1"/>
    <xf numFmtId="165" fontId="0" fillId="0" borderId="0" xfId="0" applyNumberFormat="1"/>
    <xf numFmtId="165" fontId="0" fillId="0" borderId="1" xfId="0" applyNumberFormat="1" applyBorder="1"/>
    <xf numFmtId="165" fontId="1" fillId="0" borderId="0" xfId="0" applyNumberFormat="1" applyFont="1"/>
    <xf numFmtId="0" fontId="3" fillId="0" borderId="0" xfId="0" applyFont="1"/>
    <xf numFmtId="0" fontId="4" fillId="4" borderId="0" xfId="0" applyFont="1" applyFill="1"/>
    <xf numFmtId="0" fontId="5" fillId="0" borderId="0" xfId="0" applyFont="1"/>
    <xf numFmtId="0" fontId="6" fillId="0" borderId="0" xfId="0" applyFont="1"/>
    <xf numFmtId="0" fontId="7" fillId="3" borderId="2" xfId="0" applyFont="1" applyFill="1" applyBorder="1" applyAlignment="1">
      <alignment horizontal="center" vertical="center" wrapText="1"/>
    </xf>
    <xf numFmtId="165" fontId="7" fillId="3" borderId="2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166" fontId="1" fillId="0" borderId="2" xfId="0" applyNumberFormat="1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7" fontId="1" fillId="0" borderId="2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7" fillId="3" borderId="2" xfId="0" applyFont="1" applyFill="1" applyBorder="1"/>
    <xf numFmtId="10" fontId="1" fillId="0" borderId="2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7" fillId="4" borderId="0" xfId="0" applyFont="1" applyFill="1"/>
    <xf numFmtId="0" fontId="1" fillId="4" borderId="0" xfId="0" applyFont="1" applyFill="1" applyAlignment="1">
      <alignment horizontal="center"/>
    </xf>
    <xf numFmtId="165" fontId="1" fillId="4" borderId="0" xfId="0" applyNumberFormat="1" applyFont="1" applyFill="1" applyAlignment="1">
      <alignment horizontal="center"/>
    </xf>
    <xf numFmtId="0" fontId="1" fillId="4" borderId="0" xfId="0" applyFont="1" applyFill="1"/>
    <xf numFmtId="0" fontId="10" fillId="0" borderId="0" xfId="0" applyFont="1"/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Font="1"/>
    <xf numFmtId="170" fontId="0" fillId="0" borderId="0" xfId="0" applyNumberFormat="1"/>
    <xf numFmtId="170" fontId="0" fillId="0" borderId="0" xfId="0" applyNumberFormat="1" applyFont="1"/>
    <xf numFmtId="0" fontId="0" fillId="4" borderId="0" xfId="0" applyFont="1" applyFill="1"/>
    <xf numFmtId="22" fontId="0" fillId="0" borderId="0" xfId="0" applyNumberFormat="1"/>
    <xf numFmtId="0" fontId="11" fillId="4" borderId="0" xfId="0" applyFont="1" applyFill="1"/>
    <xf numFmtId="0" fontId="12" fillId="0" borderId="0" xfId="0" applyFont="1"/>
    <xf numFmtId="165" fontId="12" fillId="0" borderId="0" xfId="0" applyNumberFormat="1" applyFont="1"/>
    <xf numFmtId="0" fontId="13" fillId="0" borderId="0" xfId="0" applyFont="1"/>
    <xf numFmtId="165" fontId="13" fillId="0" borderId="0" xfId="0" applyNumberFormat="1" applyFont="1"/>
    <xf numFmtId="17" fontId="13" fillId="0" borderId="0" xfId="0" applyNumberFormat="1" applyFont="1"/>
    <xf numFmtId="172" fontId="12" fillId="0" borderId="0" xfId="0" applyNumberFormat="1" applyFont="1"/>
    <xf numFmtId="164" fontId="12" fillId="0" borderId="0" xfId="0" applyNumberFormat="1" applyFont="1"/>
    <xf numFmtId="0" fontId="0" fillId="0" borderId="0" xfId="0" applyBorder="1"/>
    <xf numFmtId="168" fontId="0" fillId="0" borderId="0" xfId="0" applyNumberFormat="1" applyBorder="1"/>
    <xf numFmtId="0" fontId="0" fillId="0" borderId="0" xfId="0" applyFont="1" applyBorder="1"/>
    <xf numFmtId="21" fontId="0" fillId="0" borderId="0" xfId="0" applyNumberFormat="1" applyBorder="1"/>
    <xf numFmtId="165" fontId="0" fillId="0" borderId="0" xfId="0" applyNumberFormat="1" applyBorder="1"/>
    <xf numFmtId="0" fontId="2" fillId="3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22" fontId="10" fillId="0" borderId="0" xfId="0" applyNumberFormat="1" applyFont="1" applyBorder="1" applyAlignment="1">
      <alignment horizontal="center"/>
    </xf>
    <xf numFmtId="0" fontId="13" fillId="4" borderId="0" xfId="0" applyFont="1" applyFill="1"/>
    <xf numFmtId="165" fontId="13" fillId="4" borderId="0" xfId="0" applyNumberFormat="1" applyFont="1" applyFill="1"/>
    <xf numFmtId="0" fontId="9" fillId="4" borderId="0" xfId="0" applyFont="1" applyFill="1"/>
    <xf numFmtId="0" fontId="9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right"/>
    </xf>
    <xf numFmtId="0" fontId="14" fillId="4" borderId="0" xfId="0" applyFont="1" applyFill="1"/>
    <xf numFmtId="22" fontId="14" fillId="0" borderId="0" xfId="0" applyNumberFormat="1" applyFont="1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center" vertical="center" wrapText="1"/>
    </xf>
    <xf numFmtId="165" fontId="9" fillId="4" borderId="1" xfId="0" applyNumberFormat="1" applyFont="1" applyFill="1" applyBorder="1" applyAlignment="1">
      <alignment horizontal="center" vertical="center"/>
    </xf>
    <xf numFmtId="0" fontId="13" fillId="4" borderId="1" xfId="0" applyFont="1" applyFill="1" applyBorder="1"/>
    <xf numFmtId="0" fontId="0" fillId="0" borderId="0" xfId="0" applyAlignment="1">
      <alignment wrapText="1"/>
    </xf>
    <xf numFmtId="0" fontId="9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 wrapText="1"/>
    </xf>
    <xf numFmtId="165" fontId="9" fillId="4" borderId="5" xfId="0" applyNumberFormat="1" applyFont="1" applyFill="1" applyBorder="1" applyAlignment="1">
      <alignment horizontal="center" vertical="center" wrapText="1"/>
    </xf>
    <xf numFmtId="165" fontId="9" fillId="4" borderId="5" xfId="0" applyNumberFormat="1" applyFont="1" applyFill="1" applyBorder="1" applyAlignment="1">
      <alignment horizontal="center" vertical="center"/>
    </xf>
    <xf numFmtId="165" fontId="0" fillId="0" borderId="5" xfId="0" applyNumberFormat="1" applyBorder="1"/>
    <xf numFmtId="0" fontId="13" fillId="4" borderId="5" xfId="0" applyFont="1" applyFill="1" applyBorder="1"/>
  </cellXfs>
  <cellStyles count="1">
    <cellStyle name="Normal" xfId="0" builtinId="0"/>
  </cellStyles>
  <dxfs count="133">
    <dxf>
      <font>
        <b/>
        <color rgb="FFFFFFFF"/>
      </font>
      <fill>
        <patternFill>
          <bgColor rgb="FFFF6B6B"/>
        </patternFill>
      </fill>
    </dxf>
    <dxf>
      <font>
        <b/>
        <color rgb="FFFFFFFF"/>
      </font>
      <fill>
        <patternFill>
          <bgColor rgb="FFFF6B6B"/>
        </patternFill>
      </fill>
    </dxf>
    <dxf>
      <fill>
        <patternFill>
          <bgColor rgb="FFFFE5E5"/>
        </patternFill>
      </fill>
    </dxf>
    <dxf>
      <fill>
        <patternFill>
          <bgColor rgb="FFFFF9E5"/>
        </patternFill>
      </fill>
    </dxf>
    <dxf>
      <fill>
        <patternFill>
          <bgColor rgb="FFFFF9E5"/>
        </patternFill>
      </fill>
    </dxf>
    <dxf>
      <fill>
        <patternFill>
          <bgColor rgb="FFFFE5E5"/>
        </patternFill>
      </fill>
    </dxf>
    <dxf>
      <font>
        <b/>
        <color rgb="FF1A1A1A"/>
      </font>
      <fill>
        <patternFill>
          <bgColor rgb="FF6BCB77"/>
        </patternFill>
      </fill>
    </dxf>
    <dxf>
      <font>
        <b/>
        <color rgb="FF1A1A1A"/>
      </font>
      <fill>
        <patternFill>
          <bgColor rgb="FFFFD93D"/>
        </patternFill>
      </fill>
    </dxf>
    <dxf>
      <font>
        <b/>
        <color rgb="FFFFFFFF"/>
      </font>
      <fill>
        <patternFill>
          <bgColor rgb="FFFF6B6B"/>
        </patternFill>
      </fill>
    </dxf>
    <dxf>
      <fill>
        <patternFill>
          <bgColor rgb="FFFFF9E5"/>
        </patternFill>
      </fill>
    </dxf>
    <dxf>
      <fill>
        <patternFill>
          <bgColor rgb="FFFFE5E5"/>
        </patternFill>
      </fill>
    </dxf>
    <dxf>
      <font>
        <b/>
        <color rgb="FF1A1A1A"/>
      </font>
      <fill>
        <patternFill>
          <bgColor rgb="FFFFD93D"/>
        </patternFill>
      </fill>
    </dxf>
    <dxf>
      <font>
        <b/>
        <color rgb="FFFFFFFF"/>
      </font>
      <fill>
        <patternFill>
          <bgColor rgb="FFFF6B6B"/>
        </patternFill>
      </fill>
    </dxf>
    <dxf>
      <fill>
        <patternFill>
          <bgColor rgb="FFFFF9E5"/>
        </patternFill>
      </fill>
    </dxf>
    <dxf>
      <fill>
        <patternFill>
          <bgColor rgb="FFFFE5E5"/>
        </patternFill>
      </fill>
    </dxf>
    <dxf>
      <font>
        <b/>
        <color rgb="FF1A1A1A"/>
      </font>
      <fill>
        <patternFill>
          <bgColor rgb="FFFFD93D"/>
        </patternFill>
      </fill>
    </dxf>
    <dxf>
      <font>
        <b/>
        <color rgb="FFFFFFFF"/>
      </font>
      <fill>
        <patternFill>
          <bgColor rgb="FFFF6B6B"/>
        </patternFill>
      </fill>
    </dxf>
    <dxf>
      <fill>
        <patternFill>
          <bgColor rgb="FFFFF9E5"/>
        </patternFill>
      </fill>
    </dxf>
    <dxf>
      <fill>
        <patternFill>
          <bgColor rgb="FFFFE5E5"/>
        </patternFill>
      </fill>
    </dxf>
    <dxf>
      <font>
        <b/>
        <color rgb="FF1A1A1A"/>
      </font>
      <fill>
        <patternFill>
          <bgColor rgb="FFFFD93D"/>
        </patternFill>
      </fill>
    </dxf>
    <dxf>
      <font>
        <b/>
        <color rgb="FFFFFFFF"/>
      </font>
      <fill>
        <patternFill>
          <bgColor rgb="FFFF6B6B"/>
        </patternFill>
      </fill>
    </dxf>
    <dxf>
      <fill>
        <patternFill>
          <bgColor rgb="FFFFF9E5"/>
        </patternFill>
      </fill>
    </dxf>
    <dxf>
      <fill>
        <patternFill>
          <bgColor rgb="FFFFE5E5"/>
        </patternFill>
      </fill>
    </dxf>
    <dxf>
      <font>
        <b/>
        <color rgb="FF1A1A1A"/>
      </font>
      <fill>
        <patternFill>
          <bgColor rgb="FFFFD93D"/>
        </patternFill>
      </fill>
    </dxf>
    <dxf>
      <font>
        <b/>
        <color rgb="FFFFFFFF"/>
      </font>
      <fill>
        <patternFill>
          <bgColor rgb="FFFF6B6B"/>
        </patternFill>
      </fill>
    </dxf>
    <dxf>
      <fill>
        <patternFill>
          <bgColor rgb="FFFFF9E5"/>
        </patternFill>
      </fill>
    </dxf>
    <dxf>
      <fill>
        <patternFill>
          <bgColor rgb="FFFFE5E5"/>
        </patternFill>
      </fill>
    </dxf>
    <dxf>
      <font>
        <b/>
        <color rgb="FF1A1A1A"/>
      </font>
      <fill>
        <patternFill>
          <bgColor rgb="FFFFD93D"/>
        </patternFill>
      </fill>
    </dxf>
    <dxf>
      <font>
        <b/>
        <color rgb="FFFFFFFF"/>
      </font>
      <fill>
        <patternFill>
          <bgColor rgb="FFFF6B6B"/>
        </patternFill>
      </fill>
    </dxf>
    <dxf>
      <fill>
        <patternFill>
          <bgColor rgb="FFFFF9E5"/>
        </patternFill>
      </fill>
    </dxf>
    <dxf>
      <fill>
        <patternFill>
          <bgColor rgb="FFFFE5E5"/>
        </patternFill>
      </fill>
    </dxf>
    <dxf>
      <font>
        <b/>
        <color rgb="FF1A1A1A"/>
      </font>
      <fill>
        <patternFill>
          <bgColor rgb="FF6BCB77"/>
        </patternFill>
      </fill>
    </dxf>
    <dxf>
      <font>
        <b/>
        <color rgb="FF1A1A1A"/>
      </font>
      <fill>
        <patternFill>
          <bgColor rgb="FFFFD93D"/>
        </patternFill>
      </fill>
    </dxf>
    <dxf>
      <font>
        <b/>
        <color rgb="FFFFFFFF"/>
      </font>
      <fill>
        <patternFill>
          <bgColor rgb="FFFF6B6B"/>
        </patternFill>
      </fill>
    </dxf>
    <dxf>
      <fill>
        <patternFill>
          <bgColor rgb="FFFFF9E5"/>
        </patternFill>
      </fill>
    </dxf>
    <dxf>
      <fill>
        <patternFill>
          <bgColor rgb="FFFFE5E5"/>
        </patternFill>
      </fill>
    </dxf>
    <dxf>
      <font>
        <b/>
        <color rgb="FFFFFFFF"/>
      </font>
      <fill>
        <patternFill>
          <bgColor rgb="FFFF6B6B"/>
        </patternFill>
      </fill>
    </dxf>
    <dxf>
      <font>
        <b/>
        <color rgb="FF1A1A1A"/>
      </font>
      <fill>
        <patternFill>
          <bgColor rgb="FFFFD93D"/>
        </patternFill>
      </fill>
    </dxf>
    <dxf>
      <font>
        <b/>
        <color rgb="FFFFFFFF"/>
      </font>
      <fill>
        <patternFill>
          <bgColor rgb="FFFF6B6B"/>
        </patternFill>
      </fill>
    </dxf>
    <dxf>
      <font>
        <b/>
        <color rgb="FF1A1A1A"/>
      </font>
      <fill>
        <patternFill>
          <bgColor rgb="FFFFD93D"/>
        </patternFill>
      </fill>
    </dxf>
    <dxf>
      <font>
        <b/>
        <color rgb="FFFFFFFF"/>
      </font>
      <fill>
        <patternFill>
          <bgColor rgb="FFFF6B6B"/>
        </patternFill>
      </fill>
    </dxf>
    <dxf>
      <font>
        <b/>
        <color rgb="FF1A1A1A"/>
      </font>
      <fill>
        <patternFill>
          <bgColor rgb="FF6BCB77"/>
        </patternFill>
      </fill>
    </dxf>
    <dxf>
      <font>
        <b/>
        <color rgb="FF1A1A1A"/>
      </font>
      <fill>
        <patternFill>
          <bgColor rgb="FFFFD93D"/>
        </patternFill>
      </fill>
    </dxf>
    <dxf>
      <font>
        <b/>
        <color rgb="FFFFFFFF"/>
      </font>
      <fill>
        <patternFill>
          <bgColor rgb="FFFF6B6B"/>
        </patternFill>
      </fill>
    </dxf>
    <dxf>
      <fill>
        <patternFill>
          <bgColor rgb="FFFFF9E5"/>
        </patternFill>
      </fill>
    </dxf>
    <dxf>
      <fill>
        <patternFill>
          <bgColor rgb="FFFFE5E5"/>
        </patternFill>
      </fill>
    </dxf>
    <dxf>
      <fill>
        <patternFill>
          <bgColor rgb="FFFFF59D"/>
        </patternFill>
      </fill>
    </dxf>
    <dxf>
      <fill>
        <patternFill>
          <bgColor rgb="FFFF9999"/>
        </patternFill>
      </fill>
    </dxf>
    <dxf>
      <fill>
        <patternFill>
          <bgColor rgb="FFE2F0D9"/>
        </patternFill>
      </fill>
    </dxf>
    <dxf>
      <fill>
        <patternFill>
          <bgColor rgb="FFFFF59D"/>
        </patternFill>
      </fill>
    </dxf>
    <dxf>
      <fill>
        <patternFill>
          <bgColor rgb="FFFF9999"/>
        </patternFill>
      </fill>
    </dxf>
    <dxf>
      <fill>
        <patternFill>
          <bgColor rgb="FFFFF9E5"/>
        </patternFill>
      </fill>
    </dxf>
    <dxf>
      <fill>
        <patternFill>
          <bgColor rgb="FFFFE8CC"/>
        </patternFill>
      </fill>
    </dxf>
    <dxf>
      <fill>
        <patternFill>
          <bgColor rgb="FFFFE5E5"/>
        </patternFill>
      </fill>
    </dxf>
    <dxf>
      <fill>
        <patternFill>
          <bgColor rgb="FFFFF9E5"/>
        </patternFill>
      </fill>
    </dxf>
    <dxf>
      <fill>
        <patternFill>
          <bgColor rgb="FFFFE8CC"/>
        </patternFill>
      </fill>
    </dxf>
    <dxf>
      <fill>
        <patternFill>
          <bgColor rgb="FFFFE5E5"/>
        </patternFill>
      </fill>
    </dxf>
    <dxf>
      <border diagonalUp="0" diagonalDown="0">
        <left style="thick">
          <color rgb="FF1F4E78"/>
        </left>
        <right style="thick">
          <color rgb="FF1F4E78"/>
        </right>
        <top style="thick">
          <color rgb="FF1F4E78"/>
        </top>
        <bottom style="thick">
          <color rgb="FF1F4E78"/>
        </bottom>
      </border>
    </dxf>
    <dxf>
      <border diagonalUp="0" diagonalDown="0">
        <left style="thick">
          <color rgb="FF1F4E78"/>
        </left>
        <right style="thick">
          <color rgb="FF1F4E78"/>
        </right>
        <top style="thick">
          <color rgb="FF1F4E78"/>
        </top>
        <bottom style="thick">
          <color rgb="FF1F4E78"/>
        </bottom>
      </border>
    </dxf>
    <dxf>
      <border diagonalUp="0" diagonalDown="0">
        <left style="thick">
          <color rgb="FF1F4E78"/>
        </left>
        <right style="thick">
          <color rgb="FF1F4E78"/>
        </right>
        <top style="thick">
          <color rgb="FF1F4E78"/>
        </top>
        <bottom style="thick">
          <color rgb="FF1F4E78"/>
        </bottom>
      </border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sz val="11"/>
        <color rgb="FF000000"/>
        <name val="Calibri"/>
        <family val="2"/>
        <charset val="1"/>
      </font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FFFFFF"/>
      </font>
      <fill>
        <patternFill>
          <bgColor rgb="FFFFC7CE"/>
        </patternFill>
      </fill>
    </dxf>
    <dxf>
      <font>
        <color rgb="FFFFFFFF"/>
      </font>
      <fill>
        <patternFill>
          <bgColor rgb="FFFFEB9C"/>
        </patternFill>
      </fill>
    </dxf>
    <dxf>
      <font>
        <color rgb="FFFFFFFF"/>
      </font>
      <fill>
        <patternFill>
          <bgColor rgb="FFC6EFCE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>
          <bgColor theme="0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charset val="1"/>
        <scheme val="none"/>
      </font>
      <fill>
        <patternFill patternType="solid">
          <fgColor rgb="FFFFF9E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charset val="1"/>
        <scheme val="none"/>
      </font>
      <fill>
        <patternFill patternType="solid">
          <fgColor rgb="FFFFF9E5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0.00;[Red]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charset val="1"/>
        <scheme val="none"/>
      </font>
      <numFmt numFmtId="165" formatCode="0.00;[Red]0.00"/>
      <fill>
        <patternFill patternType="solid">
          <fgColor rgb="FFFFF9E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charset val="1"/>
        <scheme val="none"/>
      </font>
      <fill>
        <patternFill patternType="solid">
          <fgColor rgb="FFFFF9E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charset val="1"/>
        <scheme val="none"/>
      </font>
      <numFmt numFmtId="165" formatCode="0.00;[Red]0.00"/>
      <fill>
        <patternFill patternType="solid">
          <fgColor rgb="FFFFF9E5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charset val="1"/>
        <scheme val="none"/>
      </font>
      <numFmt numFmtId="165" formatCode="0.00;[Red]0.00"/>
      <fill>
        <patternFill patternType="solid">
          <fgColor rgb="FFFFF9E5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charset val="1"/>
        <scheme val="none"/>
      </font>
      <fill>
        <patternFill patternType="solid">
          <fgColor rgb="FFFFF9E5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charset val="1"/>
        <scheme val="none"/>
      </font>
      <fill>
        <patternFill patternType="solid">
          <fgColor rgb="FFFFF9E5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7" formatCode="m/d/yyyy\ h:mm"/>
      <alignment horizontal="left" vertical="bottom" textRotation="0" wrapText="0" indent="0" justifyLastLine="0" shrinkToFit="0" readingOrder="0"/>
    </dxf>
    <dxf>
      <numFmt numFmtId="165" formatCode="0.00;[Red]0.00"/>
    </dxf>
    <dxf>
      <numFmt numFmtId="165" formatCode="0.00;[Red]0.00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170" formatCode="[$-409]m/d/yy\ h:mm\ AM/PM;@"/>
    </dxf>
    <dxf>
      <alignment horizontal="general" vertical="bottom" textRotation="0" wrapText="1" indent="0" justifyLastLine="0" shrinkToFit="0" readingOrder="0"/>
    </dxf>
    <dxf>
      <numFmt numFmtId="165" formatCode="0.00;[Red]0.00"/>
    </dxf>
    <dxf>
      <numFmt numFmtId="27" formatCode="m/d/yyyy\ h:mm"/>
    </dxf>
    <dxf>
      <numFmt numFmtId="27" formatCode="m/d/yyyy\ h:mm"/>
    </dxf>
    <dxf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charset val="1"/>
        <scheme val="none"/>
      </font>
      <fill>
        <patternFill patternType="solid">
          <fgColor rgb="FFFFF9E5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Bookman Old Style"/>
        <family val="1"/>
        <charset val="1"/>
        <scheme val="none"/>
      </font>
      <fill>
        <patternFill patternType="solid">
          <fgColor rgb="FFFFF9E5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CE3A36"/>
      <rgbColor rgb="FF00FF00"/>
      <rgbColor rgb="FF0000FF"/>
      <rgbColor rgb="FFFFEB9C"/>
      <rgbColor rgb="FFFF00FF"/>
      <rgbColor rgb="FF00FFFF"/>
      <rgbColor rgb="FF800000"/>
      <rgbColor rgb="FF595959"/>
      <rgbColor rgb="FF254061"/>
      <rgbColor rgb="FF779637"/>
      <rgbColor rgb="FFBA4D4A"/>
      <rgbColor rgb="FF3A608D"/>
      <rgbColor rgb="FFCCCCCC"/>
      <rgbColor rgb="FF738B42"/>
      <rgbColor rgb="FF4F81BD"/>
      <rgbColor rgb="FF8F3B39"/>
      <rgbColor rgb="FFFFF9E5"/>
      <rgbColor rgb="FFE2F0D9"/>
      <rgbColor rgb="FF666666"/>
      <rgbColor rgb="FFFF6B6B"/>
      <rgbColor rgb="FF2E5F99"/>
      <rgbColor rgb="FFD9D9D9"/>
      <rgbColor rgb="FF000080"/>
      <rgbColor rgb="FFFF00FF"/>
      <rgbColor rgb="FFFFE8CC"/>
      <rgbColor rgb="FF00FFFF"/>
      <rgbColor rgb="FF800080"/>
      <rgbColor rgb="FF800000"/>
      <rgbColor rgb="FF1F4E78"/>
      <rgbColor rgb="FF0000FF"/>
      <rgbColor rgb="FF00CCFF"/>
      <rgbColor rgb="FFD4E3F4"/>
      <rgbColor rgb="FFC6EFCE"/>
      <rgbColor rgb="FFFFF59D"/>
      <rgbColor rgb="FF99CCFF"/>
      <rgbColor rgb="FFFF9999"/>
      <rgbColor rgb="FFFFE5E5"/>
      <rgbColor rgb="FFFFC7CE"/>
      <rgbColor rgb="FF397BCA"/>
      <rgbColor rgb="FF6BCB77"/>
      <rgbColor rgb="FF9CC745"/>
      <rgbColor rgb="FFFFD93D"/>
      <rgbColor rgb="FFF79646"/>
      <rgbColor rgb="FFC0504D"/>
      <rgbColor rgb="FF8064A2"/>
      <rgbColor rgb="FF96B656"/>
      <rgbColor rgb="FF002060"/>
      <rgbColor rgb="FF4C7DB7"/>
      <rgbColor rgb="FF10243E"/>
      <rgbColor rgb="FF1A1A1A"/>
      <rgbColor rgb="FF9C2F2C"/>
      <rgbColor rgb="FF772C2A"/>
      <rgbColor rgb="FF1F497D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:\Users\ashley.atim\Downloads\DBA_Operations_Uptime_Tracker_FIXED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s"/>
      <sheetName val="Dashboard"/>
      <sheetName val="Incident Register"/>
      <sheetName val="Replication Monitor"/>
      <sheetName val="Backup &amp; Recovery"/>
      <sheetName val="Server Health"/>
      <sheetName val="Availability Calculator"/>
      <sheetName val="Maintenance Register"/>
      <sheetName val="Capacity Plann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05CB77-F86C-4A56-A35D-C55D485325B8}" autoFormatId="16" applyNumberFormats="0" applyBorderFormats="0" applyFontFormats="0" applyPatternFormats="0" applyAlignmentFormats="0" applyWidthHeightFormats="0">
  <queryTableRefresh nextId="14">
    <queryTableFields count="13">
      <queryTableField id="1" name="Ticket" tableColumnId="1"/>
      <queryTableField id="2" name="Date" tableColumnId="2"/>
      <queryTableField id="3" name="Start" tableColumnId="3"/>
      <queryTableField id="4" name="End" tableColumnId="4"/>
      <queryTableField id="5" name="Duration (hrs)" tableColumnId="5"/>
      <queryTableField id="6" name="Planned" tableColumnId="6"/>
      <queryTableField id="7" name="Severity" tableColumnId="7"/>
      <queryTableField id="8" name="System" tableColumnId="8"/>
      <queryTableField id="9" name="Root Cause" tableColumnId="9"/>
      <queryTableField id="10" name="Business Impact" tableColumnId="10"/>
      <queryTableField id="11" name="Resolved By" tableColumnId="11"/>
      <queryTableField id="12" name="Status" tableColumnId="12"/>
      <queryTableField id="13" name="Databas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C77C3C0-4992-4E12-AE31-90DCF20D8D27}" autoFormatId="16" applyNumberFormats="0" applyBorderFormats="0" applyFontFormats="0" applyPatternFormats="0" applyAlignmentFormats="0" applyWidthHeightFormats="0">
  <queryTableRefresh nextId="12">
    <queryTableFields count="10">
      <queryTableField id="1" name="Check Date" tableColumnId="1"/>
      <queryTableField id="2" name="Master" tableColumnId="2"/>
      <queryTableField id="3" name="Replica" tableColumnId="3"/>
      <queryTableField id="4" name="IO Thread" tableColumnId="4"/>
      <queryTableField id="5" name="SQL Thread" tableColumnId="5"/>
      <queryTableField id="6" name="Seconds Behind" tableColumnId="6"/>
      <queryTableField id="7" name="Last Error" tableColumnId="7"/>
      <queryTableField id="8" name="Health Status" tableColumnId="8"/>
      <queryTableField id="10" name="Database" tableColumnId="10"/>
      <queryTableField id="11" name="Severity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A673F65-56E3-4A20-BE8E-1C5AFA8BD053}" autoFormatId="16" applyNumberFormats="0" applyBorderFormats="0" applyFontFormats="0" applyPatternFormats="0" applyAlignmentFormats="0" applyWidthHeightFormats="0">
  <queryTableRefresh nextId="17">
    <queryTableFields count="16">
      <queryTableField id="1" name="Record Type" tableColumnId="1"/>
      <queryTableField id="2" name="Database" tableColumnId="2"/>
      <queryTableField id="3" name="Backup Date" tableColumnId="3"/>
      <queryTableField id="4" name="Instance" tableColumnId="4"/>
      <queryTableField id="5" name="Backup Type" tableColumnId="5"/>
      <queryTableField id="6" name="Backup File / Reference" tableColumnId="6"/>
      <queryTableField id="7" name="Start Time" tableColumnId="7"/>
      <queryTableField id="8" name="End Time" tableColumnId="8"/>
      <queryTableField id="9" name="Duration (hrs)" tableColumnId="9"/>
      <queryTableField id="10" name="Outcome" tableColumnId="10"/>
      <queryTableField id="11" name="Location" tableColumnId="11"/>
      <queryTableField id="12" name="Verified" tableColumnId="12"/>
      <queryTableField id="13" name="Restore Tested" tableColumnId="13"/>
      <queryTableField id="14" name="Compression" tableColumnId="14"/>
      <queryTableField id="15" name="Tested By" tableColumnId="15"/>
      <queryTableField id="16" name="Comments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C579FCAB-0E64-4C85-838B-F41A2ACC9573}" autoFormatId="16" applyNumberFormats="0" applyBorderFormats="0" applyFontFormats="0" applyPatternFormats="0" applyAlignmentFormats="0" applyWidthHeightFormats="0">
  <queryTableRefresh nextId="13">
    <queryTableFields count="11">
      <queryTableField id="1" name="Check Date" tableColumnId="1"/>
      <queryTableField id="2" name="Server" tableColumnId="2"/>
      <queryTableField id="3" name="CPU %" tableColumnId="3"/>
      <queryTableField id="4" name="Memory %" tableColumnId="4"/>
      <queryTableField id="5" name="Disk %" tableColumnId="5"/>
      <queryTableField id="6" name="Tablespace %" tableColumnId="6"/>
      <queryTableField id="7" name="Connections" tableColumnId="7"/>
      <queryTableField id="8" name="Slow Queries" tableColumnId="8"/>
      <queryTableField id="9" name="Threads" tableColumnId="9"/>
      <queryTableField id="10" name="Health Status" tableColumnId="10"/>
      <queryTableField id="12" name="Database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CBC8B94-CFD5-4DED-9A40-B703515E85FA}" autoFormatId="16" applyNumberFormats="0" applyBorderFormats="0" applyFontFormats="0" applyPatternFormats="0" applyAlignmentFormats="0" applyWidthHeightFormats="0">
  <queryTableRefresh nextId="14">
    <queryTableFields count="9">
      <queryTableField id="1" name="Month-Year" tableColumnId="1"/>
      <queryTableField id="3" name="Database" tableColumnId="3"/>
      <queryTableField id="4" name="Target Hours" tableColumnId="4"/>
      <queryTableField id="5" name="Hours Achieved" tableColumnId="5"/>
      <queryTableField id="6" name="Planned Downtime (hrs)" tableColumnId="6"/>
      <queryTableField id="7" name="Unplanned Downtime (hrs)" tableColumnId="7"/>
      <queryTableField id="12" name="Availability %" tableColumnId="12"/>
      <queryTableField id="10" name="SLA %" tableColumnId="10"/>
      <queryTableField id="11" name="SLA Status" tableColumnId="1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AAA9C71-07D6-4C20-97AD-1FCC1EBB5EE6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Change ID" tableColumnId="2"/>
      <queryTableField id="3" name="Activity" tableColumnId="3"/>
      <queryTableField id="4" name="Start" tableColumnId="4"/>
      <queryTableField id="5" name="End" tableColumnId="5"/>
      <queryTableField id="6" name="Duration (hrs)" tableColumnId="6"/>
      <queryTableField id="7" name="Risk" tableColumnId="7"/>
      <queryTableField id="8" name="Rollback Plan" tableColumnId="8"/>
      <queryTableField id="9" name="Approved By" tableColumnId="9"/>
      <queryTableField id="10" name="Success" tableColumnId="10"/>
      <queryTableField id="11" name="Database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4F68B3C-8EED-4F45-A30A-56E648750191}" autoFormatId="16" applyNumberFormats="0" applyBorderFormats="0" applyFontFormats="0" applyPatternFormats="0" applyAlignmentFormats="0" applyWidthHeightFormats="0">
  <queryTableRefresh nextId="10">
    <queryTableFields count="8">
      <queryTableField id="1" name="Month-Year" tableColumnId="1"/>
      <queryTableField id="2" name="Database Size (GB)" tableColumnId="2"/>
      <queryTableField id="3" name="Disk Used %" tableColumnId="3"/>
      <queryTableField id="4" name="Tablespace Used %" tableColumnId="4"/>
      <queryTableField id="8" name="Available (GB)" tableColumnId="8"/>
      <queryTableField id="5" name="Largest Table" tableColumnId="5"/>
      <queryTableField id="6" name="Growth (GB)" tableColumnId="6"/>
      <queryTableField id="7" name="Databas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F30645-F87D-4D33-941C-21B1A4B4D1E5}" name="vw_incident_register_2" displayName="vw_incident_register_2" ref="A1:M19" tableType="queryTable" totalsRowShown="0">
  <autoFilter ref="A1:M19" xr:uid="{37524E1F-8A94-45CE-9BB1-02D679457930}"/>
  <tableColumns count="13">
    <tableColumn id="1" xr3:uid="{9EA1BD89-330F-4191-813E-96E4428878A9}" uniqueName="1" name="Ticket" queryTableFieldId="1"/>
    <tableColumn id="2" xr3:uid="{334BF5AE-D8E6-4306-9623-CD9CDD8A04D8}" uniqueName="2" name="Date" queryTableFieldId="2" dataDxfId="129"/>
    <tableColumn id="3" xr3:uid="{3CF44827-5645-402F-AAAE-08011AEDA136}" uniqueName="3" name="Start" queryTableFieldId="3" dataDxfId="128"/>
    <tableColumn id="4" xr3:uid="{6B3EAEC5-E886-4DE4-B1E6-F025A6780673}" uniqueName="4" name="End" queryTableFieldId="4" dataDxfId="127"/>
    <tableColumn id="5" xr3:uid="{83D27A2C-C25A-4136-BA8D-0D506FDE4E07}" uniqueName="5" name="Duration (hrs)" queryTableFieldId="5" dataDxfId="126"/>
    <tableColumn id="6" xr3:uid="{D783E3DC-0709-482E-BDE9-D42097C64C14}" uniqueName="6" name="Planned" queryTableFieldId="6"/>
    <tableColumn id="7" xr3:uid="{F2DD2845-8732-4A35-AC82-8A138B583255}" uniqueName="7" name="Severity" queryTableFieldId="7"/>
    <tableColumn id="8" xr3:uid="{2EA321B0-2E38-47C4-BB6F-3BD1E8D3C1EF}" uniqueName="8" name="System" queryTableFieldId="8"/>
    <tableColumn id="9" xr3:uid="{7D9300CD-DB28-47F3-B157-182EA66ED56E}" uniqueName="9" name="Root Cause" queryTableFieldId="9" dataDxfId="125"/>
    <tableColumn id="10" xr3:uid="{2F219067-433F-490F-B7F5-3AE0980B9998}" uniqueName="10" name="Business Impact" queryTableFieldId="10"/>
    <tableColumn id="11" xr3:uid="{1B17ACB1-F9E1-44F1-9A59-93407EDC43EA}" uniqueName="11" name="Resolved By" queryTableFieldId="11"/>
    <tableColumn id="12" xr3:uid="{9724C79A-4DEB-4AE9-BF86-452E6F2A823A}" uniqueName="12" name="Status" queryTableFieldId="12"/>
    <tableColumn id="13" xr3:uid="{4F6F95E2-FF71-4E95-A2A5-8754804AE6DD}" uniqueName="13" name="Database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49A405-827A-410B-9014-B3229AAD178A}" name="vw_replication_monitor" displayName="vw_replication_monitor" ref="A1:J32" tableType="queryTable" totalsRowShown="0" headerRowDxfId="132">
  <autoFilter ref="A1:J32" xr:uid="{E16C72B6-226B-4793-A85C-D58B66FAD08F}"/>
  <tableColumns count="10">
    <tableColumn id="1" xr3:uid="{3DE0E6EC-AAF0-4A0B-AF90-4FE4B303B52F}" uniqueName="1" name="Check Date" queryTableFieldId="1" dataDxfId="124"/>
    <tableColumn id="2" xr3:uid="{565FEAD2-3FBE-4061-96AD-374914590EFD}" uniqueName="2" name="Master" queryTableFieldId="2"/>
    <tableColumn id="3" xr3:uid="{58EAA40B-97A8-44F0-88D0-826418D1CC8A}" uniqueName="3" name="Replica" queryTableFieldId="3"/>
    <tableColumn id="4" xr3:uid="{1344DF1A-E73B-4F38-AB5C-0CE7E897B177}" uniqueName="4" name="IO Thread" queryTableFieldId="4"/>
    <tableColumn id="5" xr3:uid="{12543602-5138-42D9-9258-01070B5557E2}" uniqueName="5" name="SQL Thread" queryTableFieldId="5"/>
    <tableColumn id="6" xr3:uid="{7D11DC51-1281-4BA3-8A30-F6AF345BDD4D}" uniqueName="6" name="Seconds Behind" queryTableFieldId="6"/>
    <tableColumn id="7" xr3:uid="{D69F1B08-7737-441A-9E75-9864C52098A7}" uniqueName="7" name="Last Error" queryTableFieldId="7"/>
    <tableColumn id="8" xr3:uid="{2F610B43-8C47-4035-9574-C214FF84109D}" uniqueName="8" name="Health Status" queryTableFieldId="8"/>
    <tableColumn id="10" xr3:uid="{445E43DD-A3D4-4483-ADEF-8C577AED6020}" uniqueName="10" name="Database" queryTableFieldId="10"/>
    <tableColumn id="11" xr3:uid="{094B3601-ED04-45C8-9EAE-B53B3C061AD7}" uniqueName="11" name="Severity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99B48A-85E7-4066-90EA-F05AC235AE7D}" name="vw_backup_recovery" displayName="vw_backup_recovery" ref="A1:P40" tableType="queryTable" totalsRowShown="0">
  <autoFilter ref="A1:P40" xr:uid="{D0FA22C2-1C2A-49D4-98C0-C38D64227D07}"/>
  <tableColumns count="16">
    <tableColumn id="1" xr3:uid="{01884649-65C5-4F09-A148-8EFFD238D726}" uniqueName="1" name="Record Type" queryTableFieldId="1"/>
    <tableColumn id="2" xr3:uid="{761BF1EC-7BDA-46A8-88C9-16D47D956969}" uniqueName="2" name="Database" queryTableFieldId="2"/>
    <tableColumn id="3" xr3:uid="{643751E2-E287-4092-BE53-E79D743630F5}" uniqueName="3" name="Backup Date" queryTableFieldId="3" dataDxfId="123"/>
    <tableColumn id="4" xr3:uid="{39F23185-AF5C-4A32-8F65-7351756901A3}" uniqueName="4" name="Instance" queryTableFieldId="4"/>
    <tableColumn id="5" xr3:uid="{88333D24-46D9-4F40-9703-0F815B4C2A3F}" uniqueName="5" name="Backup Type" queryTableFieldId="5"/>
    <tableColumn id="6" xr3:uid="{4A881667-C0F8-4A72-B12F-C586F99C2682}" uniqueName="6" name="Backup File / Reference" queryTableFieldId="6"/>
    <tableColumn id="7" xr3:uid="{F497A119-26BB-44FF-8977-3CEC82A14DD4}" uniqueName="7" name="Start Time" queryTableFieldId="7" dataDxfId="122"/>
    <tableColumn id="8" xr3:uid="{20ED8942-8315-4800-9E38-ACDBECDB416B}" uniqueName="8" name="End Time" queryTableFieldId="8" dataDxfId="121"/>
    <tableColumn id="9" xr3:uid="{15E4C6D7-B41E-47BE-B503-789482E1FAE7}" uniqueName="9" name="Duration (hrs)" queryTableFieldId="9" dataDxfId="120"/>
    <tableColumn id="10" xr3:uid="{464913D7-848D-4ED4-AEC4-2AECE8407B47}" uniqueName="10" name="Outcome" queryTableFieldId="10" dataDxfId="119"/>
    <tableColumn id="11" xr3:uid="{52AE84F5-7516-4977-B30F-4D571400D75B}" uniqueName="11" name="Location" queryTableFieldId="11"/>
    <tableColumn id="12" xr3:uid="{C96C5DEF-3D74-4E39-951D-A6DEC607395A}" uniqueName="12" name="Verified" queryTableFieldId="12"/>
    <tableColumn id="13" xr3:uid="{D9EF1AD2-77EC-4488-BDDD-A1795CEE7424}" uniqueName="13" name="Restore Tested" queryTableFieldId="13"/>
    <tableColumn id="14" xr3:uid="{070BB884-6B5E-4D81-BCEE-E4D30FC92B92}" uniqueName="14" name="Compression" queryTableFieldId="14"/>
    <tableColumn id="15" xr3:uid="{7A33126D-B568-4FEE-B9E8-EA5D2298D9F5}" uniqueName="15" name="Tested By" queryTableFieldId="15"/>
    <tableColumn id="16" xr3:uid="{8245B9B2-BFEC-475A-8147-8998BE9DEF8A}" uniqueName="16" name="Comments" queryTableField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F233577-A981-4E1D-821B-026E65AC2283}" name="vw_server_health__2" displayName="vw_server_health__2" ref="A1:K487" tableType="queryTable" totalsRowShown="0">
  <autoFilter ref="A1:K487" xr:uid="{AE75D2D0-95B7-4278-9C01-52A6ACCBCABB}"/>
  <sortState ref="A2:K487">
    <sortCondition descending="1" ref="A6"/>
  </sortState>
  <tableColumns count="11">
    <tableColumn id="1" xr3:uid="{263D91ED-E2BB-427A-BE30-C4ADF69F02A3}" uniqueName="1" name="Check Date" queryTableFieldId="1" dataDxfId="118"/>
    <tableColumn id="2" xr3:uid="{3F0A8469-9345-4C88-8B0D-9529A83421AA}" uniqueName="2" name="Server" queryTableFieldId="2"/>
    <tableColumn id="3" xr3:uid="{F58788AE-7D25-418B-8F79-187FF02CCA17}" uniqueName="3" name="CPU %" queryTableFieldId="3"/>
    <tableColumn id="4" xr3:uid="{75E08F67-8251-4132-A28C-0F5C2BD4F0DA}" uniqueName="4" name="Memory %" queryTableFieldId="4"/>
    <tableColumn id="5" xr3:uid="{4E9593C8-3826-44DE-98AC-CDFDA4FB0CF4}" uniqueName="5" name="Disk %" queryTableFieldId="5"/>
    <tableColumn id="6" xr3:uid="{DE89720C-13E7-4704-95B2-E965608A4755}" uniqueName="6" name="Tablespace %" queryTableFieldId="6"/>
    <tableColumn id="7" xr3:uid="{33726B21-0083-4A31-B45A-42BFE9E6031A}" uniqueName="7" name="Connections" queryTableFieldId="7"/>
    <tableColumn id="8" xr3:uid="{83E0412C-EA7A-4B8F-99B2-64706B1627E2}" uniqueName="8" name="Slow Queries" queryTableFieldId="8"/>
    <tableColumn id="9" xr3:uid="{23ACEF2B-C77D-4DD6-B1D4-9B8191AA8855}" uniqueName="9" name="Threads" queryTableFieldId="9"/>
    <tableColumn id="10" xr3:uid="{9D543CDF-BC42-4765-AF08-DEC2A458278B}" uniqueName="10" name="Health Status" queryTableFieldId="10"/>
    <tableColumn id="12" xr3:uid="{5F1D8D69-51BD-4790-ABEF-24A76F8D6975}" uniqueName="12" name="Database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70739CC-475C-427D-8449-1A376238C2FF}" name="vw_availability_calculator" displayName="vw_availability_calculator" ref="A1:I9" tableType="queryTable" totalsRowShown="0" headerRowDxfId="131" dataDxfId="130">
  <autoFilter ref="A1:I9" xr:uid="{6B610265-ADFB-4487-AEFB-E32CBC8D4D0B}"/>
  <tableColumns count="9">
    <tableColumn id="1" xr3:uid="{11AE3394-F47C-4F73-9D14-BAF687EE4432}" uniqueName="1" name="Month-Year" queryTableFieldId="1" dataDxfId="117"/>
    <tableColumn id="3" xr3:uid="{8B3A4291-1B18-4296-88C9-79D9D01F1E41}" uniqueName="3" name="Database" queryTableFieldId="3" dataDxfId="116"/>
    <tableColumn id="4" xr3:uid="{5AC67E22-0B09-4229-A5C1-08ED8594E44E}" uniqueName="4" name="Target Hours" queryTableFieldId="4" dataDxfId="115"/>
    <tableColumn id="5" xr3:uid="{E052F0C3-36F0-4E9C-8E87-3BD5C95E30BA}" uniqueName="5" name="Hours Achieved" queryTableFieldId="5" dataDxfId="114"/>
    <tableColumn id="6" xr3:uid="{6E74550B-1803-4C37-A623-B69D5BC5A1D0}" uniqueName="6" name="Planned Downtime (hrs)" queryTableFieldId="6" dataDxfId="113"/>
    <tableColumn id="7" xr3:uid="{5416DAA1-F7FC-4835-8956-9E4DFE43A8B3}" uniqueName="7" name="Unplanned Downtime (hrs)" queryTableFieldId="7" dataDxfId="112"/>
    <tableColumn id="12" xr3:uid="{7BB34DA1-213E-4343-877A-5488ED4E72BC}" uniqueName="12" name="Availability %" queryTableFieldId="12" dataDxfId="111"/>
    <tableColumn id="10" xr3:uid="{669F0B70-0181-4B25-B58D-6AA746364638}" uniqueName="10" name="SLA %" queryTableFieldId="10" dataDxfId="110"/>
    <tableColumn id="11" xr3:uid="{62D9D182-73AE-4451-9EC8-C32FA6DD4B80}" uniqueName="11" name="SLA Status" queryTableFieldId="11" dataDxfId="10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713EDB4-2E60-4188-9797-D14A52DE4A78}" name="vw_maintenance_register" displayName="vw_maintenance_register" ref="A1:K7" tableType="queryTable" totalsRowShown="0">
  <autoFilter ref="A1:K7" xr:uid="{8D26F9E2-CAC2-4447-8958-8396D8B71F71}"/>
  <tableColumns count="11">
    <tableColumn id="1" xr3:uid="{B247CFAD-315F-4FA2-ACBF-82B16E7828FF}" uniqueName="1" name="Date" queryTableFieldId="1" dataDxfId="108"/>
    <tableColumn id="2" xr3:uid="{7FCAB11C-9634-4D7C-8589-FCAD1837A9F2}" uniqueName="2" name="Change ID" queryTableFieldId="2"/>
    <tableColumn id="3" xr3:uid="{C39102D4-20D9-48A6-86DC-288E0470EAE0}" uniqueName="3" name="Activity" queryTableFieldId="3"/>
    <tableColumn id="4" xr3:uid="{15288AE5-ACA9-4E3B-9E81-29BE4264005F}" uniqueName="4" name="Start" queryTableFieldId="4" dataDxfId="107"/>
    <tableColumn id="5" xr3:uid="{6DBA215C-C36F-4BF2-92CA-975A21AC9495}" uniqueName="5" name="End" queryTableFieldId="5" dataDxfId="106"/>
    <tableColumn id="6" xr3:uid="{3387B694-CCA2-4B4B-9AA9-4207BC25DDC4}" uniqueName="6" name="Duration (hrs)" queryTableFieldId="6"/>
    <tableColumn id="7" xr3:uid="{6866CF54-DA70-438F-811B-38FDC9A1FBA3}" uniqueName="7" name="Risk" queryTableFieldId="7"/>
    <tableColumn id="8" xr3:uid="{4AD0FF9D-9E2B-4D90-93B9-41DA5108FC42}" uniqueName="8" name="Rollback Plan" queryTableFieldId="8"/>
    <tableColumn id="9" xr3:uid="{98093086-EE79-42D9-B381-5A5A476032AC}" uniqueName="9" name="Approved By" queryTableFieldId="9"/>
    <tableColumn id="10" xr3:uid="{E5846448-AABF-4A19-ACC2-3B0A110CA7D4}" uniqueName="10" name="Success" queryTableFieldId="10"/>
    <tableColumn id="11" xr3:uid="{CE31A1F7-BCD0-41FB-A8AA-C2BB881D3F86}" uniqueName="11" name="Database" queryTableFieldId="1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B6A898F-9BEA-454E-99F9-1B5787A72ED7}" name="vw_capacity_planning" displayName="vw_capacity_planning" ref="A1:H10" tableType="queryTable" totalsRowShown="0">
  <autoFilter ref="A1:H10" xr:uid="{D20B00D0-E748-4740-BC4F-248EB190A17D}"/>
  <tableColumns count="8">
    <tableColumn id="1" xr3:uid="{0E2E0E03-781E-4C8E-BA8A-4FFB415BD7A5}" uniqueName="1" name="Month-Year" queryTableFieldId="1"/>
    <tableColumn id="2" xr3:uid="{7D222D81-F2B2-41F5-BF0C-368BF7ECC67A}" uniqueName="2" name="Database Size (GB)" queryTableFieldId="2"/>
    <tableColumn id="3" xr3:uid="{69A8F7BB-FEA3-48CB-818E-22E643FD8FF5}" uniqueName="3" name="Disk Used %" queryTableFieldId="3"/>
    <tableColumn id="4" xr3:uid="{20635E11-B836-4033-8045-5B74FBF26BFA}" uniqueName="4" name="Tablespace Used %" queryTableFieldId="4"/>
    <tableColumn id="8" xr3:uid="{C8CF8CAA-1D09-4F1D-9C79-EDEE80EC1F79}" uniqueName="8" name="Available (GB)" queryTableFieldId="8"/>
    <tableColumn id="5" xr3:uid="{6AC3EB0B-E394-4E37-B1A5-3697D2559A1A}" uniqueName="5" name="Largest Table" queryTableFieldId="5"/>
    <tableColumn id="6" xr3:uid="{1A8068D8-F289-4BB3-9FF1-9AC7EA7C9963}" uniqueName="6" name="Growth (GB)" queryTableFieldId="6"/>
    <tableColumn id="7" xr3:uid="{EA66D6DD-0211-4FCA-A9C4-D73C2F653BA9}" uniqueName="7" name="Databas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EF6F0-FCA1-49DB-8B64-C4E883BBB62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Z37"/>
  <sheetViews>
    <sheetView showGridLines="0" topLeftCell="A8" zoomScaleNormal="100" workbookViewId="0">
      <selection activeCell="B2" sqref="B2"/>
    </sheetView>
  </sheetViews>
  <sheetFormatPr defaultColWidth="8.6640625" defaultRowHeight="13.8" x14ac:dyDescent="0.25"/>
  <cols>
    <col min="1" max="1" width="20.33203125" style="1" customWidth="1"/>
    <col min="2" max="2" width="16.21875" style="1" customWidth="1"/>
    <col min="3" max="3" width="13.5546875" style="5" customWidth="1"/>
    <col min="4" max="4" width="12.6640625" style="1" customWidth="1"/>
    <col min="5" max="5" width="13" style="1" customWidth="1"/>
    <col min="6" max="6" width="14.44140625" style="5" customWidth="1"/>
    <col min="7" max="8" width="14.44140625" style="1" customWidth="1"/>
    <col min="9" max="9" width="13.77734375" style="1" customWidth="1"/>
    <col min="10" max="10" width="14.33203125" style="1" customWidth="1"/>
    <col min="11" max="11" width="14.6640625" style="1" customWidth="1"/>
    <col min="12" max="12" width="14.33203125" style="1" customWidth="1"/>
    <col min="13" max="13" width="12.21875" style="1" customWidth="1"/>
    <col min="14" max="14" width="15" style="1" customWidth="1"/>
    <col min="15" max="15" width="14.109375" style="1" customWidth="1"/>
    <col min="16" max="16384" width="8.6640625" style="1"/>
  </cols>
  <sheetData>
    <row r="1" spans="1:234" s="2" customFormat="1" ht="24" customHeight="1" x14ac:dyDescent="0.25">
      <c r="A1" s="53" t="s">
        <v>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</row>
    <row r="2" spans="1:234" ht="27" customHeight="1" x14ac:dyDescent="0.3">
      <c r="A2" s="6" t="s">
        <v>17</v>
      </c>
      <c r="B2" s="7" t="s">
        <v>18</v>
      </c>
      <c r="D2" s="54" t="str">
        <f ca="1">IFERROR("Reporting Month: "&amp;TEXT(TODAY(),"MMMM YYYY"),"")</f>
        <v>Reporting Month: August 2026</v>
      </c>
      <c r="E2" s="54"/>
      <c r="F2" s="54"/>
      <c r="G2" s="54"/>
      <c r="H2" s="54"/>
      <c r="I2" s="54"/>
      <c r="J2" s="54"/>
    </row>
    <row r="3" spans="1:234" ht="10.5" customHeight="1" x14ac:dyDescent="0.3">
      <c r="A3" s="6"/>
      <c r="B3" s="7"/>
      <c r="D3" s="8"/>
    </row>
    <row r="4" spans="1:234" ht="15" customHeight="1" x14ac:dyDescent="0.3">
      <c r="A4" s="9" t="s">
        <v>19</v>
      </c>
    </row>
    <row r="5" spans="1:234" ht="10.5" customHeight="1" x14ac:dyDescent="0.25"/>
    <row r="6" spans="1:234" ht="41.25" customHeight="1" x14ac:dyDescent="0.25">
      <c r="A6" s="10" t="s">
        <v>7</v>
      </c>
      <c r="B6" s="10" t="s">
        <v>20</v>
      </c>
      <c r="C6" s="11" t="s">
        <v>21</v>
      </c>
      <c r="D6" s="10" t="s">
        <v>22</v>
      </c>
      <c r="E6" s="10" t="s">
        <v>23</v>
      </c>
      <c r="F6" s="11" t="s">
        <v>24</v>
      </c>
      <c r="G6" s="10" t="s">
        <v>25</v>
      </c>
      <c r="H6" s="10" t="s">
        <v>26</v>
      </c>
      <c r="I6" s="10" t="s">
        <v>27</v>
      </c>
      <c r="J6" s="12" t="s">
        <v>28</v>
      </c>
      <c r="K6" s="13"/>
    </row>
    <row r="7" spans="1:234" ht="20.25" customHeight="1" x14ac:dyDescent="0.25">
      <c r="A7" s="14" t="s">
        <v>11</v>
      </c>
      <c r="B7" s="15">
        <f ca="1">IFERROR(AVERAGEIFS('Availability Calculator'!$G:$G,'Availability Calculator'!$B:$B,$A7,'Availability Calculator'!$A:$A,TEXT(TODAY(),"YYYY-MM")),"No Data")</f>
        <v>100</v>
      </c>
      <c r="C7" s="16">
        <f ca="1">SUMIFS('Maintenance Register'!F:F,'Maintenance Register'!A:A,"&gt;="&amp;DATE(YEAR(TODAY()),MONTH(TODAY()),1),'Maintenance Register'!A:A,"&lt;="&amp;EOMONTH(TODAY(),0),'Maintenance Register'!K:K,$A7)</f>
        <v>0</v>
      </c>
      <c r="D7" s="17">
        <f ca="1">SUMIFS('Incident Register'!E:E,'Incident Register'!B:B,"&gt;="&amp;DATE(YEAR(TODAY()),MONTH(TODAY()),1),'Incident Register'!B:B,"&lt;="&amp;EOMONTH(TODAY(),0),'Incident Register'!F:F,"No",'Incident Register'!M:M,$A7)</f>
        <v>0</v>
      </c>
      <c r="E7" s="18">
        <f ca="1">COUNTIFS('Incident Register'!B:B,"&gt;="&amp;DATE(YEAR(TODAY()),MONTH(TODAY()),1),'Incident Register'!M:M,$A7)</f>
        <v>0</v>
      </c>
      <c r="F7" s="16" t="str">
        <f ca="1">IFERROR(AVERAGEIFS('Incident Register'!E:E, 'Incident Register'!M:M, $A7, 'Incident Register'!B:B, "&gt;="&amp;DATE(YEAR(TODAY()), MONTH(TODAY()), 1), 'Incident Register'!B:B, "&lt;="&amp;EOMONTH(TODAY(), 0))*60, "No Data")</f>
        <v>No Data</v>
      </c>
      <c r="G7" s="19" t="str">
        <f ca="1">IF(COUNTIFS('Backup &amp; Recovery'!A:A,"Backup",'Backup &amp; Recovery'!B:B,$A7,'Backup &amp; Recovery'!C:C,"&gt;="&amp;DATE(YEAR(TODAY()),MONTH(TODAY()),1))=0,"No Data",COUNTIFS('Backup &amp; Recovery'!A:A,"Backup",'Backup &amp; Recovery'!J:J,"Success",'Backup &amp; Recovery'!B:B,$A7,'Backup &amp; Recovery'!C:C,"&gt;="&amp;DATE(YEAR(TODAY()),MONTH(TODAY()),1))/COUNTIFS('Backup &amp; Recovery'!A:A,"Backup",'Backup &amp; Recovery'!B:B,$A7,'Backup &amp; Recovery'!C:C,"&gt;="&amp;DATE(YEAR(TODAY()),MONTH(TODAY()),1))*100)</f>
        <v>No Data</v>
      </c>
      <c r="H7" s="19" t="str">
        <f ca="1">IF(COUNTIFS('Backup &amp; Recovery'!A:A,"Backup",'Backup &amp; Recovery'!B:B,$A7,'Backup &amp; Recovery'!C:C,"&gt;="&amp;DATE(YEAR(TODAY()),MONTH(TODAY()),1),'Backup &amp; Recovery'!C:C,"&lt;="&amp;EOMONTH(TODAY(),0))=0,"No Data",COUNTIFS('Backup &amp; Recovery'!A:A,"Backup",'Backup &amp; Recovery'!M:M,"Yes",'Backup &amp; Recovery'!B:B,$A7,'Backup &amp; Recovery'!C:C,"&gt;="&amp;DATE(YEAR(TODAY()),MONTH(TODAY()),1),'Backup &amp; Recovery'!C:C,"&lt;="&amp;EOMONTH(TODAY(),0))/COUNTIFS('Backup &amp; Recovery'!A:A,"Backup",'Backup &amp; Recovery'!B:B,$A7,'Backup &amp; Recovery'!C:C,"&gt;="&amp;DATE(YEAR(TODAY()),MONTH(TODAY()),1),'Backup &amp; Recovery'!C:C,"&lt;="&amp;EOMONTH(TODAY(),0))*100)</f>
        <v>No Data</v>
      </c>
      <c r="I7" s="18" t="str">
        <f>IF(COUNTIF('Replication Monitor'!I:I, "*Oracle*")=0, "No Data", IF(COUNTIFS('Replication Monitor'!I:I, "*Oracle*", 'Replication Monitor'!H:H, "*Failed*")&gt;0, "Failed", IF(COUNTIFS('Replication Monitor'!I:I, "*Oracle*", 'Replication Monitor'!H:H, "*Lag*")&gt;0, "Degraded", "Healthy")))</f>
        <v>No Data</v>
      </c>
      <c r="J7" s="20">
        <f ca="1">COUNTIFS('Backup &amp; Recovery'!A:A,"Backup",'Backup &amp; Recovery'!J:J,"Failed",'Backup &amp; Recovery'!B:B,$A7,'Backup &amp; Recovery'!C:C,"&gt;="&amp;DATE(YEAR(TODAY()),MONTH(TODAY()),1))</f>
        <v>0</v>
      </c>
      <c r="K7" s="21"/>
    </row>
    <row r="8" spans="1:234" ht="18" customHeight="1" x14ac:dyDescent="0.25">
      <c r="A8" s="14" t="s">
        <v>12</v>
      </c>
      <c r="B8" s="15">
        <f ca="1">IFERROR(AVERAGEIFS('Availability Calculator'!$G:$G,'Availability Calculator'!$B:$B,$A8,'Availability Calculator'!$A:$A,TEXT(TODAY(),"YYYY-MM")),"No Data")</f>
        <v>100</v>
      </c>
      <c r="C8" s="16">
        <f ca="1">SUMIFS('Maintenance Register'!F:F,'Maintenance Register'!A:A,"&gt;="&amp;DATE(YEAR(TODAY()),MONTH(TODAY()),1),'Maintenance Register'!A:A,"&lt;="&amp;EOMONTH(TODAY(),0),'Maintenance Register'!K:K,$A8)</f>
        <v>0</v>
      </c>
      <c r="D8" s="17">
        <f ca="1">SUMIFS('Incident Register'!E:E,'Incident Register'!B:B,"&gt;="&amp;DATE(YEAR(TODAY()),MONTH(TODAY()),1),'Incident Register'!B:B,"&lt;="&amp;EOMONTH(TODAY(),0),'Incident Register'!F:F,"No",'Incident Register'!M:M,$A8)</f>
        <v>0</v>
      </c>
      <c r="E8" s="18">
        <f ca="1">COUNTIFS('Incident Register'!B:B,"&gt;="&amp;DATE(YEAR(TODAY()),MONTH(TODAY()),1),'Incident Register'!M:M,$A8)</f>
        <v>0</v>
      </c>
      <c r="F8" s="16" t="str">
        <f ca="1">IFERROR(AVERAGEIFS('Incident Register'!E:E, 'Incident Register'!M:M, $A8, 'Incident Register'!B:B, "&gt;="&amp;DATE(YEAR(TODAY()), MONTH(TODAY()), 1), 'Incident Register'!B:B, "&lt;="&amp;EOMONTH(TODAY(), 0))*60, "No Data")</f>
        <v>No Data</v>
      </c>
      <c r="G8" s="19">
        <f ca="1">IF(COUNTIFS('Backup &amp; Recovery'!A:A,"Backup",'Backup &amp; Recovery'!B:B,$A8,'Backup &amp; Recovery'!C:C,"&gt;="&amp;DATE(YEAR(TODAY()),MONTH(TODAY()),1))=0,"No Data",COUNTIFS('Backup &amp; Recovery'!A:A,"Backup",'Backup &amp; Recovery'!J:J,"Success",'Backup &amp; Recovery'!B:B,$A8,'Backup &amp; Recovery'!C:C,"&gt;="&amp;DATE(YEAR(TODAY()),MONTH(TODAY()),1))/COUNTIFS('Backup &amp; Recovery'!A:A,"Backup",'Backup &amp; Recovery'!B:B,$A8,'Backup &amp; Recovery'!C:C,"&gt;="&amp;DATE(YEAR(TODAY()),MONTH(TODAY()),1))*100)</f>
        <v>100</v>
      </c>
      <c r="H8" s="19">
        <f ca="1">IF(COUNTIFS('Backup &amp; Recovery'!A:A,"Backup",'Backup &amp; Recovery'!B:B,$A8,'Backup &amp; Recovery'!C:C,"&gt;="&amp;DATE(YEAR(TODAY()),MONTH(TODAY()),1),'Backup &amp; Recovery'!C:C,"&lt;="&amp;EOMONTH(TODAY(),0))=0,"No Data",COUNTIFS('Backup &amp; Recovery'!A:A,"Backup",'Backup &amp; Recovery'!M:M,"Yes",'Backup &amp; Recovery'!B:B,$A8,'Backup &amp; Recovery'!C:C,"&gt;="&amp;DATE(YEAR(TODAY()),MONTH(TODAY()),1),'Backup &amp; Recovery'!C:C,"&lt;="&amp;EOMONTH(TODAY(),0))/COUNTIFS('Backup &amp; Recovery'!A:A,"Backup",'Backup &amp; Recovery'!B:B,$A8,'Backup &amp; Recovery'!C:C,"&gt;="&amp;DATE(YEAR(TODAY()),MONTH(TODAY()),1),'Backup &amp; Recovery'!C:C,"&lt;="&amp;EOMONTH(TODAY(),0))*100)</f>
        <v>0</v>
      </c>
      <c r="I8" s="18" t="str">
        <f>IF(COUNTIF('Replication Monitor'!I:I, "*MySQL*")=0, "No Data", IF(COUNTIFS('Replication Monitor'!I:I, "*MySQL*", 'Replication Monitor'!H:H, "*Failed*")&gt;0, "Failed", IF(COUNTIFS('Replication Monitor'!I:I, "*MySQL*", 'Replication Monitor'!H:H, "*Lag*")&gt;0, "Degraded", "Healthy")))</f>
        <v>Healthy</v>
      </c>
      <c r="J8" s="20">
        <f ca="1">COUNTIFS('Backup &amp; Recovery'!A:A,"Backup",'Backup &amp; Recovery'!J:J,"Failed",'Backup &amp; Recovery'!B:B,$A8,'Backup &amp; Recovery'!C:C,"&gt;="&amp;DATE(YEAR(TODAY()),MONTH(TODAY()),1))</f>
        <v>0</v>
      </c>
      <c r="K8" s="21"/>
    </row>
    <row r="9" spans="1:234" ht="20.25" customHeight="1" x14ac:dyDescent="0.25">
      <c r="A9" s="14" t="s">
        <v>13</v>
      </c>
      <c r="B9" s="15">
        <f ca="1">IFERROR(AVERAGEIFS('Availability Calculator'!$G:$G,'Availability Calculator'!$B:$B,$A9,'Availability Calculator'!$A:$A,TEXT(TODAY(),"YYYY-MM")),"No Data")</f>
        <v>100</v>
      </c>
      <c r="C9" s="16">
        <f ca="1">SUMIFS('Maintenance Register'!F:F,'Maintenance Register'!A:A,"&gt;="&amp;DATE(YEAR(TODAY()),MONTH(TODAY()),1),'Maintenance Register'!A:A,"&lt;="&amp;EOMONTH(TODAY(),0),'Maintenance Register'!K:K,$A9)</f>
        <v>0</v>
      </c>
      <c r="D9" s="17">
        <f ca="1">SUMIFS('Incident Register'!E:E,'Incident Register'!B:B,"&gt;="&amp;DATE(YEAR(TODAY()),MONTH(TODAY()),1),'Incident Register'!B:B,"&lt;="&amp;EOMONTH(TODAY(),0),'Incident Register'!F:F,"No",'Incident Register'!M:M,$A9)</f>
        <v>0</v>
      </c>
      <c r="E9" s="18">
        <f ca="1">COUNTIFS('Incident Register'!B:B,"&gt;="&amp;DATE(YEAR(TODAY()),MONTH(TODAY()),1),'Incident Register'!M:M,$A9)</f>
        <v>0</v>
      </c>
      <c r="F9" s="16" t="str">
        <f ca="1">IFERROR(AVERAGEIFS('Incident Register'!E:E, 'Incident Register'!M:M, $A9, 'Incident Register'!B:B, "&gt;="&amp;DATE(YEAR(TODAY()), MONTH(TODAY()), 1), 'Incident Register'!B:B, "&lt;="&amp;EOMONTH(TODAY(), 0))*60, "No Data")</f>
        <v>No Data</v>
      </c>
      <c r="G9" s="19" t="str">
        <f ca="1">IF(COUNTIFS('Backup &amp; Recovery'!A:A,"Backup",'Backup &amp; Recovery'!B:B,$A9,'Backup &amp; Recovery'!C:C,"&gt;="&amp;DATE(YEAR(TODAY()),MONTH(TODAY()),1))=0,"No Data",COUNTIFS('Backup &amp; Recovery'!A:A,"Backup",'Backup &amp; Recovery'!J:J,"Success",'Backup &amp; Recovery'!B:B,$A9,'Backup &amp; Recovery'!C:C,"&gt;="&amp;DATE(YEAR(TODAY()),MONTH(TODAY()),1))/COUNTIFS('Backup &amp; Recovery'!A:A,"Backup",'Backup &amp; Recovery'!B:B,$A9,'Backup &amp; Recovery'!C:C,"&gt;="&amp;DATE(YEAR(TODAY()),MONTH(TODAY()),1))*100)</f>
        <v>No Data</v>
      </c>
      <c r="H9" s="19" t="str">
        <f ca="1">IF(COUNTIFS('Backup &amp; Recovery'!A:A,"Backup",'Backup &amp; Recovery'!B:B,$A9,'Backup &amp; Recovery'!C:C,"&gt;="&amp;DATE(YEAR(TODAY()),MONTH(TODAY()),1),'Backup &amp; Recovery'!C:C,"&lt;="&amp;EOMONTH(TODAY(),0))=0,"No Data",COUNTIFS('Backup &amp; Recovery'!A:A,"Backup",'Backup &amp; Recovery'!M:M,"Yes",'Backup &amp; Recovery'!B:B,$A9,'Backup &amp; Recovery'!C:C,"&gt;="&amp;DATE(YEAR(TODAY()),MONTH(TODAY()),1),'Backup &amp; Recovery'!C:C,"&lt;="&amp;EOMONTH(TODAY(),0))/COUNTIFS('Backup &amp; Recovery'!A:A,"Backup",'Backup &amp; Recovery'!B:B,$A9,'Backup &amp; Recovery'!C:C,"&gt;="&amp;DATE(YEAR(TODAY()),MONTH(TODAY()),1),'Backup &amp; Recovery'!C:C,"&lt;="&amp;EOMONTH(TODAY(),0))*100)</f>
        <v>No Data</v>
      </c>
      <c r="I9" s="18" t="str">
        <f>IF(COUNTIF('Replication Monitor'!I:I, "*MS SQL Server*")=0, "No Data", IF(COUNTIFS('Replication Monitor'!I:I, "*MS SQL Server*", 'Replication Monitor'!H:H, "*Failed*")&gt;0, "Failed", IF(COUNTIFS('Replication Monitor'!I:I, "*MS SQL Server*", 'Replication Monitor'!H:H, "*Lag*")&gt;0, "Degraded", "Healthy")))</f>
        <v>No Data</v>
      </c>
      <c r="J9" s="20">
        <f ca="1">COUNTIFS('Backup &amp; Recovery'!A:A,"Backup",'Backup &amp; Recovery'!J:J,"Failed",'Backup &amp; Recovery'!B:B,$A9,'Backup &amp; Recovery'!C:C,"&gt;="&amp;DATE(YEAR(TODAY()),MONTH(TODAY()),1))</f>
        <v>0</v>
      </c>
      <c r="K9" s="21"/>
    </row>
    <row r="10" spans="1:234" ht="18.75" customHeight="1" x14ac:dyDescent="0.25">
      <c r="A10" s="14" t="s">
        <v>14</v>
      </c>
      <c r="B10" s="15">
        <f ca="1">IFERROR(AVERAGEIFS('Availability Calculator'!$G:$G,'Availability Calculator'!$B:$B,$A10,'Availability Calculator'!$A:$A,TEXT(TODAY(),"YYYY-MM")),"No Data")</f>
        <v>100</v>
      </c>
      <c r="C10" s="16">
        <f ca="1">SUMIFS('Maintenance Register'!F:F,'Maintenance Register'!A:A,"&gt;="&amp;DATE(YEAR(TODAY()),MONTH(TODAY()),1),'Maintenance Register'!A:A,"&lt;="&amp;EOMONTH(TODAY(),0),'Maintenance Register'!K:K,$A10)</f>
        <v>0</v>
      </c>
      <c r="D10" s="17">
        <f ca="1">SUMIFS('Incident Register'!E:E,'Incident Register'!B:B,"&gt;="&amp;DATE(YEAR(TODAY()),MONTH(TODAY()),1),'Incident Register'!B:B,"&lt;="&amp;EOMONTH(TODAY(),0),'Incident Register'!F:F,"No",'Incident Register'!M:M,$A10)</f>
        <v>0</v>
      </c>
      <c r="E10" s="18">
        <f ca="1">COUNTIFS('Incident Register'!B:B,"&gt;="&amp;DATE(YEAR(TODAY()),MONTH(TODAY()),1),'Incident Register'!M:M,$A10)</f>
        <v>0</v>
      </c>
      <c r="F10" s="16" t="str">
        <f ca="1">IFERROR(AVERAGEIFS('Incident Register'!E:E, 'Incident Register'!M:M, $A10, 'Incident Register'!B:B, "&gt;="&amp;DATE(YEAR(TODAY()), MONTH(TODAY()), 1), 'Incident Register'!B:B, "&lt;="&amp;EOMONTH(TODAY(), 0))*60, "No Data")</f>
        <v>No Data</v>
      </c>
      <c r="G10" s="19" t="str">
        <f ca="1">IF(COUNTIFS('Backup &amp; Recovery'!A:A,"Backup",'Backup &amp; Recovery'!B:B,$A10,'Backup &amp; Recovery'!C:C,"&gt;="&amp;DATE(YEAR(TODAY()),MONTH(TODAY()),1))=0,"No Data",COUNTIFS('Backup &amp; Recovery'!A:A,"Backup",'Backup &amp; Recovery'!J:J,"Success",'Backup &amp; Recovery'!B:B,$A10,'Backup &amp; Recovery'!C:C,"&gt;="&amp;DATE(YEAR(TODAY()),MONTH(TODAY()),1))/COUNTIFS('Backup &amp; Recovery'!A:A,"Backup",'Backup &amp; Recovery'!B:B,$A10,'Backup &amp; Recovery'!C:C,"&gt;="&amp;DATE(YEAR(TODAY()),MONTH(TODAY()),1))*100)</f>
        <v>No Data</v>
      </c>
      <c r="H10" s="19" t="str">
        <f ca="1">IF(COUNTIFS('Backup &amp; Recovery'!A:A,"Backup",'Backup &amp; Recovery'!B:B,$A10,'Backup &amp; Recovery'!C:C,"&gt;="&amp;DATE(YEAR(TODAY()),MONTH(TODAY()),1),'Backup &amp; Recovery'!C:C,"&lt;="&amp;EOMONTH(TODAY(),0))=0,"No Data",COUNTIFS('Backup &amp; Recovery'!A:A,"Backup",'Backup &amp; Recovery'!M:M,"Yes",'Backup &amp; Recovery'!B:B,$A10,'Backup &amp; Recovery'!C:C,"&gt;="&amp;DATE(YEAR(TODAY()),MONTH(TODAY()),1),'Backup &amp; Recovery'!C:C,"&lt;="&amp;EOMONTH(TODAY(),0))/COUNTIFS('Backup &amp; Recovery'!A:A,"Backup",'Backup &amp; Recovery'!B:B,$A10,'Backup &amp; Recovery'!C:C,"&gt;="&amp;DATE(YEAR(TODAY()),MONTH(TODAY()),1),'Backup &amp; Recovery'!C:C,"&lt;="&amp;EOMONTH(TODAY(),0))*100)</f>
        <v>No Data</v>
      </c>
      <c r="I10" s="18" t="str">
        <f>IF(COUNTIF('Replication Monitor'!I:I, "*PostgreSQL*")=0, "No Data", IF(COUNTIFS('Replication Monitor'!I:I, "*PostgreSQL*", 'Replication Monitor'!H:H, "*Failed*")&gt;0, "Failed", IF(COUNTIFS('Replication Monitor'!I:I, "*PostgreSQL*", 'Replication Monitor'!H:H, "*Lag*")&gt;0, "Degraded", "Healthy")))</f>
        <v>No Data</v>
      </c>
      <c r="J10" s="20">
        <f ca="1">COUNTIFS('Backup &amp; Recovery'!A:A,"Backup",'Backup &amp; Recovery'!J:J,"Failed",'Backup &amp; Recovery'!B:B,$A10,'Backup &amp; Recovery'!C:C,"&gt;="&amp;DATE(YEAR(TODAY()),MONTH(TODAY()),1))</f>
        <v>0</v>
      </c>
    </row>
    <row r="13" spans="1:234" ht="17.25" customHeight="1" x14ac:dyDescent="0.3">
      <c r="A13" s="22" t="s">
        <v>29</v>
      </c>
    </row>
    <row r="14" spans="1:234" ht="21" customHeight="1" x14ac:dyDescent="0.25">
      <c r="A14" s="23" t="str">
        <f>IFERROR("Showing: "&amp;B2,"")</f>
        <v>Showing: All Databases</v>
      </c>
    </row>
    <row r="16" spans="1:234" ht="54.75" customHeight="1" x14ac:dyDescent="0.25">
      <c r="A16" s="10" t="s">
        <v>30</v>
      </c>
      <c r="B16" s="10" t="s">
        <v>31</v>
      </c>
      <c r="C16" s="11" t="s">
        <v>21</v>
      </c>
      <c r="D16" s="10" t="s">
        <v>22</v>
      </c>
      <c r="E16" s="10" t="s">
        <v>23</v>
      </c>
      <c r="F16" s="11" t="s">
        <v>32</v>
      </c>
      <c r="G16" s="10" t="s">
        <v>33</v>
      </c>
      <c r="H16" s="10" t="s">
        <v>34</v>
      </c>
      <c r="I16" s="10" t="s">
        <v>27</v>
      </c>
      <c r="J16" s="10" t="s">
        <v>35</v>
      </c>
      <c r="K16" s="10" t="s">
        <v>36</v>
      </c>
      <c r="L16" s="10" t="s">
        <v>37</v>
      </c>
      <c r="M16" s="10" t="s">
        <v>28</v>
      </c>
      <c r="N16" s="10" t="s">
        <v>38</v>
      </c>
      <c r="O16" s="10" t="s">
        <v>39</v>
      </c>
    </row>
    <row r="17" spans="1:15" ht="19.5" customHeight="1" x14ac:dyDescent="0.25">
      <c r="A17" s="24" t="s">
        <v>40</v>
      </c>
      <c r="B17" s="25">
        <f ca="1">_xlfn.IFS($B$2="All Databases",AVERAGE($B$7:$B$10)/100,$B$2="Oracle",IF(ISNUMBER($B$7),$B$7/100,"No Data"),$B$2="MySQL",IF(ISNUMBER($B$8),$B$8/100,"No Data"),$B$2="MS SQL Server",IF(ISNUMBER($B$9),$B$9/100,"No Data"),$B$2="PostgreSQL",IF(ISNUMBER($B$10),$B$10/100,"No Data"))</f>
        <v>1</v>
      </c>
      <c r="C17" s="16">
        <f ca="1">IF($B$2="All Databases",SUMIFS('Maintenance Register'!F:F,'Maintenance Register'!A:A,"&gt;="&amp;DATE(YEAR(TODAY()),MONTH(TODAY()),1)),SUMIFS('Maintenance Register'!F:F,'Maintenance Register'!A:A,"&gt;="&amp;DATE(YEAR(TODAY()),MONTH(TODAY()),1),'Maintenance Register'!J:J,$B$2))</f>
        <v>0</v>
      </c>
      <c r="D17" s="16">
        <f ca="1">SUMIFS('Incident Register'!E:E,'Incident Register'!B:B,"&gt;="&amp;DATE(YEAR(TODAY()),MONTH(TODAY()),1),'Incident Register'!B:B,"&lt;="&amp;EOMONTH(TODAY(),0),'Incident Register'!F:F,"No",'Incident Register'!M:M,$A7)</f>
        <v>0</v>
      </c>
      <c r="E17" s="18">
        <f ca="1">IF($B$2="All Databases",COUNTIFS('Incident Register'!B:B,"&gt;="&amp;DATE(YEAR(TODAY()),MONTH(TODAY()),1)),COUNTIFS('Incident Register'!B:B,"&gt;="&amp;DATE(YEAR(TODAY()),MONTH(TODAY()),1),'Incident Register'!M:M,$B$2))</f>
        <v>0</v>
      </c>
      <c r="F17" s="16" t="str">
        <f ca="1">IFERROR(IF($B$2="All Databases", AVERAGEIFS('Incident Register'!E:E, 'Incident Register'!B:B, "&gt;="&amp;DATE(YEAR(TODAY()), MONTH(TODAY()), 1), 'Incident Register'!B:B, "&lt;="&amp;EOMONTH(TODAY(), 0))*60, AVERAGEIFS('Incident Register'!E:E, 'Incident Register'!M:M, $B$2, 'Incident Register'!B:B, "&gt;="&amp;DATE(YEAR(TODAY()), MONTH(TODAY()), 1), 'Incident Register'!B:B, "&lt;="&amp;EOMONTH(TODAY(), 0))*60), "No Data")</f>
        <v>No Data</v>
      </c>
      <c r="G17" s="17">
        <f ca="1">IF($B$2="All Databases",IF(COUNTIFS('Backup &amp; Recovery'!A:A,"Backup",'Backup &amp; Recovery'!C:C,"&gt;="&amp;DATE(YEAR(TODAY()),MONTH(TODAY()),1))=0,"No Data",COUNTIFS('Backup &amp; Recovery'!A:A,"Backup",'Backup &amp; Recovery'!J:J,"Success",'Backup &amp; Recovery'!C:C,"&gt;="&amp;DATE(YEAR(TODAY()),MONTH(TODAY()),1))/COUNTIFS('Backup &amp; Recovery'!A:A,"Backup",'Backup &amp; Recovery'!C:C,"&gt;="&amp;DATE(YEAR(TODAY()),MONTH(TODAY()),1))*100),IF(COUNTIFS('Backup &amp; Recovery'!A:A,"Backup",'Backup &amp; Recovery'!B:B,$B$2,'Backup &amp; Recovery'!C:C,"&gt;="&amp;DATE(YEAR(TODAY()),MONTH(TODAY()),1))=0,"No Data",COUNTIFS('Backup &amp; Recovery'!A:A,"Backup",'Backup &amp; Recovery'!J:J,"Success",'Backup &amp; Recovery'!B:B,$B$2,'Backup &amp; Recovery'!C:C,"&gt;="&amp;DATE(YEAR(TODAY()),MONTH(TODAY()),1))/COUNTIFS('Backup &amp; Recovery'!A:A,"Backup",'Backup &amp; Recovery'!B:B,$B$2,'Backup &amp; Recovery'!C:C,"&gt;="&amp;DATE(YEAR(TODAY()),MONTH(TODAY()),1))*100))</f>
        <v>100</v>
      </c>
      <c r="H17" s="17" t="str">
        <f ca="1">IF($B$2="All Databases",
    IF(COUNTIFS('Backup &amp; Recovery'!A:A,"Restore Test",'Backup &amp; Recovery'!C:C,"&gt;="&amp;DATE(YEAR(TODAY()),MONTH(TODAY()),1))=0,
        "No Data",
        SUM(COUNTIFS('Backup &amp; Recovery'!A:A,"Restore Test",'Backup &amp; Recovery'!J:J,{"Pass","Success"},'Backup &amp; Recovery'!C:C,"&gt;="&amp;DATE(YEAR(TODAY()),MONTH(TODAY()),1))) / COUNTIFS('Backup &amp; Recovery'!A:A,"Restore Test",'Backup &amp; Recovery'!C:C,"&gt;="&amp;DATE(YEAR(TODAY()),MONTH(TODAY()),1)) * 100
    ),
    IF(COUNTIFS('Backup &amp; Recovery'!A:A,"Restore Test",'Backup &amp; Recovery'!B:B,$B$2,'Backup &amp; Recovery'!C:C,"&gt;="&amp;DATE(YEAR(TODAY()),MONTH(TODAY()),1))=0,
        "No Data",
        SUM(COUNTIFS('Backup &amp; Recovery'!A:A,"Restore Test",'Backup &amp; Recovery'!J:J,{"Pass","Success"},'Backup &amp; Recovery'!B:B,$B$2,'Backup &amp; Recovery'!C:C,"&gt;="&amp;DATE(YEAR(TODAY()),MONTH(TODAY()),1))) / COUNTIFS('Backup &amp; Recovery'!A:A,"Restore Test",'Backup &amp; Recovery'!B:B,$B$2,'Backup &amp; Recovery'!C:C,"&gt;="&amp;DATE(YEAR(TODAY()),MONTH(TODAY()),1)) * 100
    )
)</f>
        <v>No Data</v>
      </c>
      <c r="I17" s="18" t="str">
        <f>IF($B$2="All Databases",IF(COUNTIFS('Replication Monitor'!H:H,"Failed")&gt;0,"Failed",IF(COUNTIFS('Replication Monitor'!H:H,"Degraded")&gt;0,"Degraded","Healthy")),IF(COUNTIFS('Replication Monitor'!H:H,"Failed",'Replication Monitor'!I:I,$B$2)&gt;0,"Failed",IF(COUNTIFS('Replication Monitor'!H:H,"Degraded",'Replication Monitor'!I:I,$B$2)&gt;0,"Degraded",IF(COUNTIFS('Replication Monitor'!I:I,$B$2)=0,"No Data","Healthy"))))</f>
        <v>Healthy</v>
      </c>
      <c r="J17" s="26">
        <f>IF($B$2="All Databases",IF(COUNTIFS('Backup &amp; Recovery'!A:A,"Backup",'Backup &amp; Recovery'!E:E,"Full",'Backup &amp; Recovery'!J:J,"Success")=0,"No Data",_xlfn.MAXIFS('Backup &amp; Recovery'!C:C,'Backup &amp; Recovery'!A:A,"Backup",'Backup &amp; Recovery'!E:E,"Full",'Backup &amp; Recovery'!J:J,"Success")),IF(COUNTIFS('Backup &amp; Recovery'!A:A,"Backup",'Backup &amp; Recovery'!E:E,"Full",'Backup &amp; Recovery'!J:J,"Success",'Backup &amp; Recovery'!B:B,$B$2)=0,"No Data",_xlfn.MAXIFS('Backup &amp; Recovery'!C:C,'Backup &amp; Recovery'!A:A,"Backup",'Backup &amp; Recovery'!E:E,"Full",'Backup &amp; Recovery'!J:J,"Success",'Backup &amp; Recovery'!B:B,$B$2)))</f>
        <v>46235</v>
      </c>
      <c r="K17" s="26">
        <f>IF($B$2="All Databases",IF(COUNTIFS('Backup &amp; Recovery'!A:A,"Backup",'Backup &amp; Recovery'!E:E,"Incremental",'Backup &amp; Recovery'!J:J,"Success")=0,"No Data",_xlfn.MAXIFS('Backup &amp; Recovery'!C:C,'Backup &amp; Recovery'!A:A,"Backup",'Backup &amp; Recovery'!E:E,"Incremental",'Backup &amp; Recovery'!J:J,"Success")),IF(COUNTIFS('Backup &amp; Recovery'!A:A,"Backup",'Backup &amp; Recovery'!E:E,"Incremental",'Backup &amp; Recovery'!J:J,"Success",'Backup &amp; Recovery'!B:B,$B$2)=0,"No Data",_xlfn.MAXIFS('Backup &amp; Recovery'!C:C,'Backup &amp; Recovery'!A:A,"Backup",'Backup &amp; Recovery'!E:E,"Incremental",'Backup &amp; Recovery'!J:J,"Success",'Backup &amp; Recovery'!B:B,$B$2)))</f>
        <v>46236</v>
      </c>
      <c r="L17" s="26" t="str">
        <f>IF($B$2="All Databases",IF(COUNTIFS('Backup &amp; Recovery'!A:A,"Restore Test",'Backup &amp; Recovery'!J:J,"Pass")=0,"No Data",_xlfn.MAXIFS('Backup &amp; Recovery'!C:C,'Backup &amp; Recovery'!A:A,"Restore Test",'Backup &amp; Recovery'!J:J,"Pass")),IF(COUNTIFS('Backup &amp; Recovery'!A:A,"Restore Test",'Backup &amp; Recovery'!J:J,"Pass",'Backup &amp; Recovery'!B:B,$B$2)=0,"No Data",_xlfn.MAXIFS('Backup &amp; Recovery'!C:C,'Backup &amp; Recovery'!A:A,"Restore Test",'Backup &amp; Recovery'!J:J,"Pass",'Backup &amp; Recovery'!B:B,$B$2)))</f>
        <v>No Data</v>
      </c>
      <c r="M17" s="18">
        <f ca="1">IF($B$2="All Databases",IF(COUNTIFS('Backup &amp; Recovery'!A:A,"Backup",'Backup &amp; Recovery'!C:C,"&gt;="&amp;DATE(YEAR(TODAY()),MONTH(TODAY()),1))=0,"No Data",COUNTIFS('Backup &amp; Recovery'!A:A,"Backup",'Backup &amp; Recovery'!J:J,"Failed",'Backup &amp; Recovery'!C:C,"&gt;="&amp;DATE(YEAR(TODAY()),MONTH(TODAY()),1))),IF(COUNTIFS('Backup &amp; Recovery'!A:A,"Backup",'Backup &amp; Recovery'!B:B,$B$2,'Backup &amp; Recovery'!C:C,"&gt;="&amp;DATE(YEAR(TODAY()),MONTH(TODAY()),1))=0,"No Data",COUNTIFS('Backup &amp; Recovery'!A:A,"Backup",'Backup &amp; Recovery'!J:J,"Failed",'Backup &amp; Recovery'!B:B,$B$2,'Backup &amp; Recovery'!C:C,"&gt;="&amp;DATE(YEAR(TODAY()),MONTH(TODAY()),1))))</f>
        <v>0</v>
      </c>
      <c r="N17" s="18" t="str">
        <f ca="1">IF($B$2="All Databases",IF(COUNTIFS('Backup &amp; Recovery'!A:A,"Restore Test",'Backup &amp; Recovery'!C:C,"&gt;="&amp;DATE(YEAR(TODAY()),MONTH(TODAY()),1))=0,"No Data",COUNTIFS('Backup &amp; Recovery'!A:A,"Restore Test",'Backup &amp; Recovery'!J:J,"Fail",'Backup &amp; Recovery'!C:C,"&gt;="&amp;DATE(YEAR(TODAY()),MONTH(TODAY()),1))),IF(COUNTIFS('Backup &amp; Recovery'!A:A,"Restore Test",'Backup &amp; Recovery'!B:B,$B$2,'Backup &amp; Recovery'!C:C,"&gt;="&amp;DATE(YEAR(TODAY()),MONTH(TODAY()),1))=0,"No Data",COUNTIFS('Backup &amp; Recovery'!A:A,"Restore Test",'Backup &amp; Recovery'!J:J,"Fail",'Backup &amp; Recovery'!B:B,$B$2,'Backup &amp; Recovery'!C:C,"&gt;="&amp;DATE(YEAR(TODAY()),MONTH(TODAY()),1))))</f>
        <v>No Data</v>
      </c>
      <c r="O17" s="18">
        <f>IF($B$2="All Databases",IF(COUNTA('Replication Monitor'!I:I)-1=0,"No Data",MAX('Replication Monitor'!F:F)),IF(COUNTIFS('Replication Monitor'!I:I,$B$2)=0,"No Data",_xlfn.MAXIFS('Replication Monitor'!F:F,'Replication Monitor'!I:I,$B$2)))</f>
        <v>0</v>
      </c>
    </row>
    <row r="18" spans="1:15" ht="28.5" customHeight="1" x14ac:dyDescent="0.25">
      <c r="A18" s="24" t="s">
        <v>41</v>
      </c>
      <c r="B18" s="14" t="s">
        <v>181</v>
      </c>
      <c r="C18" s="16" t="s">
        <v>42</v>
      </c>
      <c r="D18" s="14" t="s">
        <v>43</v>
      </c>
      <c r="E18" s="14" t="s">
        <v>44</v>
      </c>
      <c r="F18" s="16" t="s">
        <v>45</v>
      </c>
      <c r="G18" s="14" t="s">
        <v>46</v>
      </c>
      <c r="H18" s="14" t="s">
        <v>47</v>
      </c>
      <c r="I18" s="14" t="s">
        <v>48</v>
      </c>
      <c r="J18" s="14" t="s">
        <v>49</v>
      </c>
      <c r="K18" s="14" t="s">
        <v>50</v>
      </c>
      <c r="L18" s="14" t="s">
        <v>221</v>
      </c>
      <c r="M18" s="14">
        <v>0</v>
      </c>
      <c r="N18" s="14">
        <v>0</v>
      </c>
      <c r="O18" s="14" t="s">
        <v>51</v>
      </c>
    </row>
    <row r="19" spans="1:15" ht="18" customHeight="1" x14ac:dyDescent="0.25">
      <c r="A19" s="24" t="s">
        <v>1</v>
      </c>
      <c r="B19" s="14" t="str">
        <f ca="1">IF(B17="No Data","N/A",IF(B17&gt;=0.9995,"Meets SLA",IF(B17&gt;=0.97,"Marginal","Below SLA")))</f>
        <v>Meets SLA</v>
      </c>
      <c r="C19" s="16" t="str">
        <f ca="1">IF(C17&lt;=48,"Meets SLA",IF(C17&lt;=49,"Marginal","Below SLA"))</f>
        <v>Meets SLA</v>
      </c>
      <c r="D19" s="14" t="str">
        <f ca="1">IF(D17&lt;=1.6,"Meets SLA",IF(D17&lt;=2,"Marginal","Below SLA"))</f>
        <v>Meets SLA</v>
      </c>
      <c r="E19" s="14" t="str">
        <f ca="1">IF(E17&lt;=4,"Meets SLA",IF(E17&lt;=5,"Marginal","Below SLA"))</f>
        <v>Meets SLA</v>
      </c>
      <c r="F19" s="16" t="str">
        <f ca="1">IF(F17="No Data","N/A",IF(F17&lt;=96,"Meets SLA",IF(F17&lt;=240,"Marginal","Below SLA")))</f>
        <v>N/A</v>
      </c>
      <c r="G19" s="14" t="str">
        <f ca="1">IF(G17="No Data","N/A",IF(G17&gt;=95,"Meets SLA",IF(G17&gt;=90,"Marginal","Below SLA")))</f>
        <v>Meets SLA</v>
      </c>
      <c r="H19" s="14" t="str">
        <f ca="1">IF(H17="No Data","N/A",IF(H17&gt;=80,"Meets SLA",IF(H17&gt;=75,"Marginal","Below SLA")))</f>
        <v>N/A</v>
      </c>
      <c r="I19" s="14" t="str">
        <f>IF(I17="Healthy","Meets SLA",IF(I17="Degraded","Marginal",IF(I17="No Data","N/A","Below SLA")))</f>
        <v>Meets SLA</v>
      </c>
      <c r="J19" s="14" t="str">
        <f ca="1">IF(J17="No Data","N/A",IF(TODAY()-J17&lt;=7,"Meets SLA",IF(TODAY()-J17&lt;=10,"Marginal","Below SLA")))</f>
        <v>Meets SLA</v>
      </c>
      <c r="K19" s="14" t="str">
        <f ca="1">IF(K17="No Data","N/A",IF(TODAY()-K17&lt;=1,"Meets SLA",IF(TODAY()-K17&lt;=2,"Marginal","Below SLA")))</f>
        <v>Meets SLA</v>
      </c>
      <c r="L19" s="14" t="str">
        <f ca="1">IF(L17="No Data","N/A",IF(DATEDIF(L17,TODAY(),"m")&lt;12,"Meets SLA",IF(DATEDIF(L17,TODAY(),"m")&lt;14,"Marginal","Below SLA")))</f>
        <v>N/A</v>
      </c>
      <c r="M19" s="14" t="str">
        <f ca="1">IF(M17="No Data","N/A",IF(M17&lt;=0,"Meets SLA","Below SLA"))</f>
        <v>Meets SLA</v>
      </c>
      <c r="N19" s="14" t="str">
        <f ca="1">IF(N17="No Data","N/A",IF(N17=0,"Meets SLA","Below SLA"))</f>
        <v>N/A</v>
      </c>
      <c r="O19" s="14" t="str">
        <f>IF(O17="No Data","N/A",IF(O17&lt;24,"Meets SLA",IF(O17&lt;2,"Marginal","Below SLA")))</f>
        <v>Meets SLA</v>
      </c>
    </row>
    <row r="20" spans="1:15" s="30" customFormat="1" ht="18" customHeight="1" x14ac:dyDescent="0.25">
      <c r="A20" s="27"/>
      <c r="B20" s="28"/>
      <c r="C20" s="29"/>
      <c r="D20" s="28"/>
      <c r="E20" s="28"/>
      <c r="F20" s="29"/>
      <c r="G20" s="28"/>
      <c r="H20" s="28"/>
      <c r="I20" s="28"/>
      <c r="J20" s="28"/>
      <c r="K20" s="28"/>
      <c r="L20" s="28"/>
      <c r="M20" s="28"/>
      <c r="N20" s="28"/>
      <c r="O20" s="28"/>
    </row>
    <row r="22" spans="1:15" ht="16.5" customHeight="1" x14ac:dyDescent="0.3">
      <c r="A22" s="22" t="s">
        <v>52</v>
      </c>
    </row>
    <row r="23" spans="1:15" ht="14.25" customHeight="1" x14ac:dyDescent="0.3">
      <c r="A23" s="9" t="str">
        <f>IFERROR("This month, "&amp;B2,"")</f>
        <v>This month, All Databases</v>
      </c>
    </row>
    <row r="25" spans="1:15" ht="18" customHeight="1" x14ac:dyDescent="0.25">
      <c r="A25" s="10" t="s">
        <v>7</v>
      </c>
      <c r="B25" s="10" t="s">
        <v>53</v>
      </c>
      <c r="C25" s="11" t="s">
        <v>54</v>
      </c>
      <c r="D25" s="10" t="s">
        <v>55</v>
      </c>
      <c r="E25" s="10" t="s">
        <v>56</v>
      </c>
      <c r="F25" s="11" t="s">
        <v>57</v>
      </c>
      <c r="G25" s="10" t="s">
        <v>58</v>
      </c>
    </row>
    <row r="26" spans="1:15" ht="21" customHeight="1" x14ac:dyDescent="0.25">
      <c r="A26" s="14" t="str">
        <f>IF($B$2="All Databases","All Databases",$B$2)</f>
        <v>All Databases</v>
      </c>
      <c r="B26" s="18">
        <f ca="1">IF($B$2="All Databases",COUNTIFS('Incident Register'!B:B,"&gt;="&amp;DATE(YEAR(TODAY()),MONTH(TODAY()),1),'Incident Register'!L:L,"Open"),COUNTIFS('Incident Register'!B:B,"&gt;="&amp;DATE(YEAR(TODAY()),MONTH(TODAY()),1),'Incident Register'!L:L,"Open",'Incident Register'!M:M,$B$2))</f>
        <v>0</v>
      </c>
      <c r="C26" s="16">
        <f ca="1">IF($B$2="All Databases",COUNTIFS('Incident Register'!B:B,"&gt;="&amp;DATE(YEAR(TODAY()),MONTH(TODAY()),1),'Incident Register'!L:L,"In Progress"),COUNTIFS('Incident Register'!B:B,"&gt;="&amp;DATE(YEAR(TODAY()),MONTH(TODAY()),1),'Incident Register'!L:L,"In Progress",'Incident Register'!M:M,$B$2))</f>
        <v>0</v>
      </c>
      <c r="D26" s="14">
        <f ca="1">IF($B$2="All Databases",COUNTIFS('Incident Register'!B:B,"&gt;="&amp;DATE(YEAR(TODAY()),MONTH(TODAY()),1),'Incident Register'!L:L,"Resolved"),COUNTIFS('Incident Register'!B:B,"&gt;="&amp;DATE(YEAR(TODAY()),MONTH(TODAY()),1),'Incident Register'!L:L,"Resolved",'Incident Register'!M:M,$B$2))</f>
        <v>0</v>
      </c>
      <c r="E26" s="14">
        <f ca="1">IF($B$2="All Databases",COUNTIFS('Incident Register'!B:B,"&gt;="&amp;DATE(YEAR(TODAY()),MONTH(TODAY()),1),'Incident Register'!L:L,"Closed"),COUNTIFS('Incident Register'!B:B,"&gt;="&amp;DATE(YEAR(TODAY()),MONTH(TODAY()),1),'Incident Register'!L:L,"Closed",'Incident Register'!M:M,$B$2))</f>
        <v>0</v>
      </c>
      <c r="F26" s="16">
        <f ca="1">IF($B$2="All Databases",COUNTIFS('Incident Register'!B:B,"&gt;="&amp;DATE(YEAR(TODAY()),MONTH(TODAY()),1),'Incident Register'!L:L,"On Hold"),COUNTIFS('Incident Register'!B:B,"&gt;="&amp;DATE(YEAR(TODAY()),MONTH(TODAY()),1),'Incident Register'!L:L,"On Hold",'Incident Register'!M:M,$B$2))</f>
        <v>0</v>
      </c>
      <c r="G26" s="14">
        <f ca="1">SUM(B26:F26)</f>
        <v>0</v>
      </c>
    </row>
    <row r="29" spans="1:15" ht="14.25" customHeight="1" x14ac:dyDescent="0.3">
      <c r="A29" s="31" t="s">
        <v>59</v>
      </c>
      <c r="B29" s="55">
        <f ca="1">NOW()</f>
        <v>46237.373105555555</v>
      </c>
      <c r="C29" s="55"/>
      <c r="D29" s="55"/>
      <c r="E29" s="55"/>
      <c r="F29" s="55"/>
      <c r="G29" s="55"/>
    </row>
    <row r="33" spans="1:2" ht="13.5" customHeight="1" x14ac:dyDescent="0.25">
      <c r="A33" s="32"/>
    </row>
    <row r="34" spans="1:2" ht="13.5" customHeight="1" x14ac:dyDescent="0.25">
      <c r="A34" s="33"/>
      <c r="B34" s="32"/>
    </row>
    <row r="35" spans="1:2" ht="27" customHeight="1" x14ac:dyDescent="0.25">
      <c r="A35" s="30"/>
      <c r="B35" s="34"/>
    </row>
    <row r="36" spans="1:2" ht="27" customHeight="1" x14ac:dyDescent="0.25">
      <c r="A36" s="30"/>
      <c r="B36" s="34"/>
    </row>
    <row r="37" spans="1:2" ht="27" customHeight="1" x14ac:dyDescent="0.25">
      <c r="A37" s="30"/>
      <c r="B37" s="34"/>
    </row>
  </sheetData>
  <mergeCells count="3">
    <mergeCell ref="A1:P1"/>
    <mergeCell ref="D2:J2"/>
    <mergeCell ref="B29:G29"/>
  </mergeCells>
  <conditionalFormatting sqref="B7:J10">
    <cfRule type="containsText" dxfId="105" priority="1" operator="containsText" text="No Data">
      <formula>NOT(ISERROR(SEARCH("No Data",B7)))</formula>
    </cfRule>
    <cfRule type="containsText" dxfId="104" priority="3" operator="containsText" text="No Data">
      <formula>NOT(ISERROR(SEARCH("No Data",B7)))</formula>
    </cfRule>
    <cfRule type="containsText" dxfId="103" priority="4" operator="containsText" text="No Data">
      <formula>NOT(ISERROR(SEARCH("No Data",B7)))</formula>
    </cfRule>
  </conditionalFormatting>
  <conditionalFormatting sqref="C7:C10">
    <cfRule type="expression" dxfId="102" priority="5">
      <formula>C7&lt;=48</formula>
    </cfRule>
    <cfRule type="expression" dxfId="101" priority="6">
      <formula>AND(C7&gt;48,C7&lt;=49)</formula>
    </cfRule>
    <cfRule type="expression" dxfId="100" priority="7">
      <formula>C7&gt;49</formula>
    </cfRule>
  </conditionalFormatting>
  <conditionalFormatting sqref="H7:H10">
    <cfRule type="containsText" dxfId="99" priority="8" operator="containsText" text="No Data">
      <formula>NOT(ISERROR(SEARCH("No Data",H7)))</formula>
    </cfRule>
    <cfRule type="expression" dxfId="98" priority="9">
      <formula>AND(ISNUMBER(H7),H7&gt;=80)</formula>
    </cfRule>
    <cfRule type="expression" dxfId="97" priority="10">
      <formula>AND(ISNUMBER(H7),H7&gt;=75,H7&lt;80)</formula>
    </cfRule>
    <cfRule type="expression" dxfId="96" priority="11">
      <formula>AND(ISNUMBER(H7),H7&lt;75)</formula>
    </cfRule>
  </conditionalFormatting>
  <conditionalFormatting sqref="A34">
    <cfRule type="expression" dxfId="95" priority="12">
      <formula>A$19="Below SLA"</formula>
    </cfRule>
    <cfRule type="expression" dxfId="94" priority="13">
      <formula>A$19="Marginal"</formula>
    </cfRule>
    <cfRule type="expression" dxfId="93" priority="14">
      <formula>A$19="Meets SLA"</formula>
    </cfRule>
  </conditionalFormatting>
  <conditionalFormatting sqref="J9">
    <cfRule type="containsText" dxfId="92" priority="15" operator="containsText" text="No Data">
      <formula>NOT(ISERROR(SEARCH("No Data",J9)))</formula>
    </cfRule>
  </conditionalFormatting>
  <conditionalFormatting sqref="F9">
    <cfRule type="containsText" dxfId="91" priority="16" operator="containsText" text="No Data">
      <formula>NOT(ISERROR(SEARCH("No Data",F9)))</formula>
    </cfRule>
  </conditionalFormatting>
  <conditionalFormatting sqref="B7:B10">
    <cfRule type="expression" dxfId="90" priority="17">
      <formula>B7&gt;=99</formula>
    </cfRule>
    <cfRule type="expression" dxfId="89" priority="18">
      <formula>AND(B7&gt;=97,B7&lt;99)</formula>
    </cfRule>
    <cfRule type="expression" dxfId="88" priority="19">
      <formula>B7&lt;97</formula>
    </cfRule>
  </conditionalFormatting>
  <conditionalFormatting sqref="D7:D10">
    <cfRule type="expression" dxfId="87" priority="20">
      <formula>D7&lt;=1.6</formula>
    </cfRule>
    <cfRule type="expression" dxfId="86" priority="21">
      <formula>AND(D7&gt;1.6,D7&lt;=2)</formula>
    </cfRule>
    <cfRule type="expression" dxfId="85" priority="22">
      <formula>D7&gt;2</formula>
    </cfRule>
  </conditionalFormatting>
  <conditionalFormatting sqref="E7:E10">
    <cfRule type="expression" dxfId="84" priority="23">
      <formula>E7&lt;=4</formula>
    </cfRule>
    <cfRule type="expression" dxfId="83" priority="24">
      <formula>AND(E7&gt;4,E7&lt;=5)</formula>
    </cfRule>
    <cfRule type="expression" dxfId="82" priority="25">
      <formula>E7&gt;5</formula>
    </cfRule>
  </conditionalFormatting>
  <conditionalFormatting sqref="F7:F10">
    <cfRule type="expression" dxfId="81" priority="26">
      <formula>F7&lt;=96</formula>
    </cfRule>
    <cfRule type="expression" dxfId="80" priority="27">
      <formula>AND(F7&gt;96,F7&lt;=120)</formula>
    </cfRule>
    <cfRule type="expression" dxfId="79" priority="28">
      <formula>F7&gt;120</formula>
    </cfRule>
  </conditionalFormatting>
  <conditionalFormatting sqref="G7:G10">
    <cfRule type="expression" dxfId="78" priority="29">
      <formula>G7="No Data"</formula>
    </cfRule>
    <cfRule type="expression" dxfId="77" priority="30">
      <formula>AND(ISNUMBER(G7),G7&gt;=95)</formula>
    </cfRule>
    <cfRule type="expression" dxfId="76" priority="31">
      <formula>AND(ISNUMBER(G7),G7&gt;=90,G7&lt;95)</formula>
    </cfRule>
    <cfRule type="expression" dxfId="75" priority="32">
      <formula>AND(ISNUMBER(G7),G7&lt;90)</formula>
    </cfRule>
  </conditionalFormatting>
  <conditionalFormatting sqref="B19:O19">
    <cfRule type="cellIs" dxfId="74" priority="33" operator="equal">
      <formula>"Below SLA"</formula>
    </cfRule>
    <cfRule type="cellIs" dxfId="73" priority="34" operator="equal">
      <formula>"Marginal"</formula>
    </cfRule>
    <cfRule type="cellIs" dxfId="72" priority="35" operator="equal">
      <formula>"Meets SLA"</formula>
    </cfRule>
  </conditionalFormatting>
  <conditionalFormatting sqref="B17:O17">
    <cfRule type="expression" dxfId="71" priority="36">
      <formula>B$19="Below SLA"</formula>
    </cfRule>
    <cfRule type="expression" dxfId="70" priority="37">
      <formula>B$19="Marginal"</formula>
    </cfRule>
    <cfRule type="expression" dxfId="69" priority="38">
      <formula>B$19="Meets SLA"</formula>
    </cfRule>
  </conditionalFormatting>
  <conditionalFormatting sqref="I7:I10">
    <cfRule type="cellIs" dxfId="68" priority="39" operator="equal">
      <formula>"Healthy"</formula>
    </cfRule>
    <cfRule type="cellIs" dxfId="67" priority="40" operator="equal">
      <formula>"Degraded"</formula>
    </cfRule>
    <cfRule type="cellIs" dxfId="66" priority="41" operator="equal">
      <formula>"Failed"</formula>
    </cfRule>
  </conditionalFormatting>
  <conditionalFormatting sqref="B26">
    <cfRule type="expression" dxfId="65" priority="42">
      <formula>B26=0</formula>
    </cfRule>
    <cfRule type="expression" dxfId="64" priority="43">
      <formula>B26&gt;0</formula>
    </cfRule>
  </conditionalFormatting>
  <conditionalFormatting sqref="J7:J10">
    <cfRule type="expression" dxfId="63" priority="44">
      <formula>J7=0</formula>
    </cfRule>
    <cfRule type="expression" dxfId="62" priority="45">
      <formula>J7&gt;0</formula>
    </cfRule>
  </conditionalFormatting>
  <conditionalFormatting sqref="F26">
    <cfRule type="expression" dxfId="61" priority="46">
      <formula>F26=0</formula>
    </cfRule>
    <cfRule type="expression" dxfId="60" priority="47">
      <formula>F26&gt;0</formula>
    </cfRule>
  </conditionalFormatting>
  <conditionalFormatting sqref="B8:B10 F8:F10 A7:J7 H8:I10">
    <cfRule type="expression" dxfId="59" priority="48">
      <formula>$A7=$B$2</formula>
    </cfRule>
  </conditionalFormatting>
  <conditionalFormatting sqref="A8:J8 E7 E9:E10 I7:I10">
    <cfRule type="expression" dxfId="58" priority="49">
      <formula>$A7=$B$2</formula>
    </cfRule>
  </conditionalFormatting>
  <conditionalFormatting sqref="A10:J10">
    <cfRule type="expression" dxfId="57" priority="50">
      <formula>$A10=$B$2</formula>
    </cfRule>
  </conditionalFormatting>
  <dataValidations count="1">
    <dataValidation type="list" sqref="B2:B3" xr:uid="{00000000-0002-0000-0100-000000000000}">
      <formula1>"All Databases,Oracle,MySQL,MS SQL Server,PostgreSQL"</formula1>
      <formula2>0</formula2>
    </dataValidation>
  </dataValidations>
  <pageMargins left="0.2" right="0.17013888888888901" top="0.17013888888888901" bottom="1" header="0.511811023622047" footer="0.511811023622047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9"/>
  <sheetViews>
    <sheetView showGridLines="0" tabSelected="1" zoomScaleNormal="100" workbookViewId="0">
      <pane ySplit="1" topLeftCell="A4" activePane="bottomLeft" state="frozen"/>
      <selection activeCell="C1" sqref="C1"/>
      <selection pane="bottomLeft" activeCell="H13" sqref="H13"/>
    </sheetView>
  </sheetViews>
  <sheetFormatPr defaultColWidth="8.6640625" defaultRowHeight="14.4" x14ac:dyDescent="0.3"/>
  <cols>
    <col min="1" max="1" width="26.77734375" bestFit="1" customWidth="1"/>
    <col min="2" max="4" width="13.6640625" bestFit="1" customWidth="1"/>
    <col min="5" max="5" width="14.88671875" style="3" bestFit="1" customWidth="1"/>
    <col min="6" max="6" width="10.109375" bestFit="1" customWidth="1"/>
    <col min="7" max="7" width="10" bestFit="1" customWidth="1"/>
    <col min="8" max="8" width="12" bestFit="1" customWidth="1"/>
    <col min="9" max="9" width="80.77734375" style="71" bestFit="1" customWidth="1"/>
    <col min="10" max="10" width="80.88671875" bestFit="1" customWidth="1"/>
    <col min="11" max="11" width="25.5546875" bestFit="1" customWidth="1"/>
    <col min="12" max="12" width="8.44140625" bestFit="1" customWidth="1"/>
    <col min="13" max="13" width="11" bestFit="1" customWidth="1"/>
    <col min="14" max="14" width="8.44140625" bestFit="1" customWidth="1"/>
    <col min="15" max="15" width="11.109375" bestFit="1" customWidth="1"/>
  </cols>
  <sheetData>
    <row r="1" spans="1:13" x14ac:dyDescent="0.3">
      <c r="A1" t="s">
        <v>60</v>
      </c>
      <c r="B1" t="s">
        <v>61</v>
      </c>
      <c r="C1" t="s">
        <v>62</v>
      </c>
      <c r="D1" t="s">
        <v>63</v>
      </c>
      <c r="E1" s="3" t="s">
        <v>64</v>
      </c>
      <c r="F1" t="s">
        <v>65</v>
      </c>
      <c r="G1" t="s">
        <v>0</v>
      </c>
      <c r="H1" t="s">
        <v>66</v>
      </c>
      <c r="I1" s="71" t="s">
        <v>67</v>
      </c>
      <c r="J1" t="s">
        <v>68</v>
      </c>
      <c r="K1" t="s">
        <v>69</v>
      </c>
      <c r="L1" t="s">
        <v>1</v>
      </c>
      <c r="M1" t="s">
        <v>7</v>
      </c>
    </row>
    <row r="2" spans="1:13" ht="178.2" customHeight="1" x14ac:dyDescent="0.3">
      <c r="A2" t="s">
        <v>182</v>
      </c>
      <c r="B2" s="39">
        <v>46204</v>
      </c>
      <c r="C2" s="39">
        <v>0.26796296296296296</v>
      </c>
      <c r="D2" s="39">
        <v>0.2684375</v>
      </c>
      <c r="E2" s="3">
        <v>0</v>
      </c>
      <c r="F2" t="s">
        <v>70</v>
      </c>
      <c r="G2" t="s">
        <v>6</v>
      </c>
      <c r="H2" t="s">
        <v>82</v>
      </c>
      <c r="I2" s="71" t="s">
        <v>222</v>
      </c>
      <c r="J2" t="s">
        <v>223</v>
      </c>
      <c r="K2" t="s">
        <v>66</v>
      </c>
      <c r="L2" t="s">
        <v>56</v>
      </c>
      <c r="M2" t="s">
        <v>12</v>
      </c>
    </row>
    <row r="3" spans="1:13" ht="230.4" x14ac:dyDescent="0.3">
      <c r="A3" t="s">
        <v>184</v>
      </c>
      <c r="B3" s="39">
        <v>46206</v>
      </c>
      <c r="C3" s="39">
        <v>0.56364583333333329</v>
      </c>
      <c r="D3" s="39">
        <v>0.56572916666666662</v>
      </c>
      <c r="E3" s="3">
        <v>0.05</v>
      </c>
      <c r="F3" t="s">
        <v>70</v>
      </c>
      <c r="G3" t="s">
        <v>6</v>
      </c>
      <c r="H3" t="s">
        <v>82</v>
      </c>
      <c r="I3" s="71" t="s">
        <v>224</v>
      </c>
      <c r="J3" t="s">
        <v>223</v>
      </c>
      <c r="K3" t="s">
        <v>66</v>
      </c>
      <c r="L3" t="s">
        <v>56</v>
      </c>
      <c r="M3" t="s">
        <v>12</v>
      </c>
    </row>
    <row r="4" spans="1:13" ht="230.4" x14ac:dyDescent="0.3">
      <c r="A4" t="s">
        <v>185</v>
      </c>
      <c r="B4" s="39">
        <v>46231</v>
      </c>
      <c r="C4" s="39">
        <v>0.15638888888888888</v>
      </c>
      <c r="D4" s="39">
        <v>0.15714120370370371</v>
      </c>
      <c r="E4" s="3">
        <v>0</v>
      </c>
      <c r="F4" t="s">
        <v>70</v>
      </c>
      <c r="G4" t="s">
        <v>6</v>
      </c>
      <c r="H4" t="s">
        <v>82</v>
      </c>
      <c r="I4" s="71" t="s">
        <v>225</v>
      </c>
      <c r="J4" t="s">
        <v>223</v>
      </c>
      <c r="K4" t="s">
        <v>66</v>
      </c>
      <c r="L4" t="s">
        <v>56</v>
      </c>
      <c r="M4" t="s">
        <v>12</v>
      </c>
    </row>
    <row r="5" spans="1:13" ht="230.4" x14ac:dyDescent="0.3">
      <c r="A5" t="s">
        <v>226</v>
      </c>
      <c r="B5" s="39">
        <v>46234</v>
      </c>
      <c r="C5" s="39">
        <v>0.14624999999999999</v>
      </c>
      <c r="D5" s="39">
        <v>0.14656250000000001</v>
      </c>
      <c r="E5" s="3">
        <v>0</v>
      </c>
      <c r="F5" t="s">
        <v>70</v>
      </c>
      <c r="G5" t="s">
        <v>6</v>
      </c>
      <c r="H5" t="s">
        <v>82</v>
      </c>
      <c r="I5" s="71" t="s">
        <v>227</v>
      </c>
      <c r="J5" t="s">
        <v>223</v>
      </c>
      <c r="K5" t="s">
        <v>66</v>
      </c>
      <c r="L5" t="s">
        <v>56</v>
      </c>
      <c r="M5" t="s">
        <v>12</v>
      </c>
    </row>
    <row r="6" spans="1:13" ht="86.4" x14ac:dyDescent="0.3">
      <c r="A6" t="s">
        <v>208</v>
      </c>
      <c r="B6" s="39">
        <v>46233</v>
      </c>
      <c r="C6" s="39">
        <v>0.78418981481481487</v>
      </c>
      <c r="D6" s="39">
        <v>0.78552083333333333</v>
      </c>
      <c r="E6" s="3">
        <v>0</v>
      </c>
      <c r="F6" t="s">
        <v>70</v>
      </c>
      <c r="G6" t="s">
        <v>5</v>
      </c>
      <c r="H6" t="s">
        <v>187</v>
      </c>
      <c r="I6" s="71" t="s">
        <v>188</v>
      </c>
      <c r="J6" t="s">
        <v>183</v>
      </c>
      <c r="K6" t="s">
        <v>66</v>
      </c>
      <c r="L6" t="s">
        <v>56</v>
      </c>
      <c r="M6" t="s">
        <v>11</v>
      </c>
    </row>
    <row r="7" spans="1:13" ht="86.4" x14ac:dyDescent="0.3">
      <c r="A7" t="s">
        <v>209</v>
      </c>
      <c r="B7" s="39">
        <v>46233</v>
      </c>
      <c r="C7" s="39">
        <v>0.78335648148148151</v>
      </c>
      <c r="D7" s="39">
        <v>0.78418981481481487</v>
      </c>
      <c r="E7" s="3">
        <v>0</v>
      </c>
      <c r="F7" t="s">
        <v>70</v>
      </c>
      <c r="G7" t="s">
        <v>5</v>
      </c>
      <c r="H7" t="s">
        <v>187</v>
      </c>
      <c r="I7" s="71" t="s">
        <v>190</v>
      </c>
      <c r="J7" t="s">
        <v>183</v>
      </c>
      <c r="K7" t="s">
        <v>66</v>
      </c>
      <c r="L7" t="s">
        <v>56</v>
      </c>
      <c r="M7" t="s">
        <v>11</v>
      </c>
    </row>
    <row r="8" spans="1:13" ht="86.4" x14ac:dyDescent="0.3">
      <c r="A8" t="s">
        <v>210</v>
      </c>
      <c r="B8" s="39">
        <v>46233</v>
      </c>
      <c r="C8" s="39">
        <v>0.78233796296296299</v>
      </c>
      <c r="D8" s="39">
        <v>0.78335648148148151</v>
      </c>
      <c r="E8" s="3">
        <v>0</v>
      </c>
      <c r="F8" t="s">
        <v>70</v>
      </c>
      <c r="G8" t="s">
        <v>5</v>
      </c>
      <c r="H8" t="s">
        <v>187</v>
      </c>
      <c r="I8" s="71" t="s">
        <v>188</v>
      </c>
      <c r="J8" t="s">
        <v>183</v>
      </c>
      <c r="K8" t="s">
        <v>66</v>
      </c>
      <c r="L8" t="s">
        <v>56</v>
      </c>
      <c r="M8" t="s">
        <v>11</v>
      </c>
    </row>
    <row r="9" spans="1:13" ht="86.4" x14ac:dyDescent="0.3">
      <c r="A9" t="s">
        <v>211</v>
      </c>
      <c r="B9" s="39">
        <v>46233</v>
      </c>
      <c r="C9" s="39">
        <v>0.78160879629629632</v>
      </c>
      <c r="D9" s="39">
        <v>0.78195601851851848</v>
      </c>
      <c r="E9" s="3">
        <v>0</v>
      </c>
      <c r="F9" t="s">
        <v>70</v>
      </c>
      <c r="G9" t="s">
        <v>5</v>
      </c>
      <c r="H9" t="s">
        <v>194</v>
      </c>
      <c r="I9" s="71" t="s">
        <v>195</v>
      </c>
      <c r="J9" t="s">
        <v>183</v>
      </c>
      <c r="K9" t="s">
        <v>66</v>
      </c>
      <c r="L9" t="s">
        <v>56</v>
      </c>
      <c r="M9" t="s">
        <v>11</v>
      </c>
    </row>
    <row r="10" spans="1:13" ht="86.4" x14ac:dyDescent="0.3">
      <c r="A10" t="s">
        <v>186</v>
      </c>
      <c r="B10" s="39">
        <v>46229</v>
      </c>
      <c r="C10" s="39">
        <v>0.28810185185185183</v>
      </c>
      <c r="D10" s="39">
        <v>0.29031249999999997</v>
      </c>
      <c r="E10" s="3">
        <v>0</v>
      </c>
      <c r="F10" t="s">
        <v>70</v>
      </c>
      <c r="G10" t="s">
        <v>5</v>
      </c>
      <c r="H10" t="s">
        <v>187</v>
      </c>
      <c r="I10" s="71" t="s">
        <v>188</v>
      </c>
      <c r="J10" t="s">
        <v>183</v>
      </c>
      <c r="K10" t="s">
        <v>66</v>
      </c>
      <c r="L10" t="s">
        <v>56</v>
      </c>
      <c r="M10" t="s">
        <v>11</v>
      </c>
    </row>
    <row r="11" spans="1:13" ht="86.4" x14ac:dyDescent="0.3">
      <c r="A11" t="s">
        <v>189</v>
      </c>
      <c r="B11" s="39">
        <v>46229</v>
      </c>
      <c r="C11" s="39">
        <v>0.28681712962962963</v>
      </c>
      <c r="D11" s="39">
        <v>0.28810185185185183</v>
      </c>
      <c r="E11" s="3">
        <v>0</v>
      </c>
      <c r="F11" t="s">
        <v>70</v>
      </c>
      <c r="G11" t="s">
        <v>5</v>
      </c>
      <c r="H11" t="s">
        <v>187</v>
      </c>
      <c r="I11" s="71" t="s">
        <v>190</v>
      </c>
      <c r="J11" t="s">
        <v>183</v>
      </c>
      <c r="K11" t="s">
        <v>66</v>
      </c>
      <c r="L11" t="s">
        <v>56</v>
      </c>
      <c r="M11" t="s">
        <v>11</v>
      </c>
    </row>
    <row r="12" spans="1:13" ht="86.4" x14ac:dyDescent="0.3">
      <c r="A12" t="s">
        <v>191</v>
      </c>
      <c r="B12" s="39">
        <v>46229</v>
      </c>
      <c r="C12" s="39">
        <v>0.28474537037037034</v>
      </c>
      <c r="D12" s="39">
        <v>0.28681712962962963</v>
      </c>
      <c r="E12" s="3">
        <v>0</v>
      </c>
      <c r="F12" t="s">
        <v>70</v>
      </c>
      <c r="G12" t="s">
        <v>5</v>
      </c>
      <c r="H12" t="s">
        <v>187</v>
      </c>
      <c r="I12" s="71" t="s">
        <v>188</v>
      </c>
      <c r="J12" t="s">
        <v>183</v>
      </c>
      <c r="K12" t="s">
        <v>66</v>
      </c>
      <c r="L12" t="s">
        <v>56</v>
      </c>
      <c r="M12" t="s">
        <v>11</v>
      </c>
    </row>
    <row r="13" spans="1:13" ht="86.4" x14ac:dyDescent="0.3">
      <c r="A13" t="s">
        <v>193</v>
      </c>
      <c r="B13" s="39">
        <v>46229</v>
      </c>
      <c r="C13" s="39">
        <v>0.28409722222222222</v>
      </c>
      <c r="D13" s="39">
        <v>0.28498842592592594</v>
      </c>
      <c r="E13" s="3">
        <v>0</v>
      </c>
      <c r="F13" t="s">
        <v>70</v>
      </c>
      <c r="G13" t="s">
        <v>5</v>
      </c>
      <c r="H13" t="s">
        <v>254</v>
      </c>
      <c r="I13" s="71" t="s">
        <v>195</v>
      </c>
      <c r="J13" t="s">
        <v>183</v>
      </c>
      <c r="K13" t="s">
        <v>66</v>
      </c>
      <c r="L13" t="s">
        <v>56</v>
      </c>
      <c r="M13" t="s">
        <v>11</v>
      </c>
    </row>
    <row r="14" spans="1:13" ht="86.4" x14ac:dyDescent="0.3">
      <c r="A14" t="s">
        <v>228</v>
      </c>
      <c r="B14" s="39">
        <v>46218</v>
      </c>
      <c r="C14" s="39">
        <v>0.77656250000000004</v>
      </c>
      <c r="D14" s="39">
        <v>0.78627314814814819</v>
      </c>
      <c r="E14" s="3">
        <v>0</v>
      </c>
      <c r="F14" t="s">
        <v>80</v>
      </c>
      <c r="G14" t="s">
        <v>5</v>
      </c>
      <c r="H14" t="s">
        <v>187</v>
      </c>
      <c r="I14" s="71" t="s">
        <v>229</v>
      </c>
      <c r="J14" t="s">
        <v>230</v>
      </c>
      <c r="K14" t="s">
        <v>231</v>
      </c>
      <c r="L14" t="s">
        <v>56</v>
      </c>
      <c r="M14" t="s">
        <v>11</v>
      </c>
    </row>
    <row r="15" spans="1:13" ht="86.4" x14ac:dyDescent="0.3">
      <c r="A15" t="s">
        <v>232</v>
      </c>
      <c r="B15" s="39">
        <v>46218</v>
      </c>
      <c r="C15" s="39">
        <v>0.77552083333333333</v>
      </c>
      <c r="D15" s="39">
        <v>0.78672453703703704</v>
      </c>
      <c r="E15" s="3">
        <v>0</v>
      </c>
      <c r="F15" t="s">
        <v>80</v>
      </c>
      <c r="G15" t="s">
        <v>5</v>
      </c>
      <c r="H15" t="s">
        <v>194</v>
      </c>
      <c r="I15" s="71" t="s">
        <v>212</v>
      </c>
      <c r="J15" t="s">
        <v>230</v>
      </c>
      <c r="K15" t="s">
        <v>231</v>
      </c>
      <c r="L15" t="s">
        <v>56</v>
      </c>
      <c r="M15" t="s">
        <v>11</v>
      </c>
    </row>
    <row r="16" spans="1:13" ht="86.4" x14ac:dyDescent="0.3">
      <c r="A16" t="s">
        <v>208</v>
      </c>
      <c r="B16" s="39">
        <v>46233</v>
      </c>
      <c r="C16" s="39">
        <v>0.65918981481481487</v>
      </c>
      <c r="D16" s="39">
        <v>0.66052083333333333</v>
      </c>
      <c r="E16" s="3">
        <v>3.1899999999999998E-2</v>
      </c>
      <c r="F16" t="s">
        <v>80</v>
      </c>
      <c r="G16" t="s">
        <v>5</v>
      </c>
      <c r="H16" t="s">
        <v>187</v>
      </c>
      <c r="I16" s="71" t="s">
        <v>192</v>
      </c>
      <c r="J16" t="s">
        <v>183</v>
      </c>
      <c r="K16" t="s">
        <v>66</v>
      </c>
      <c r="L16" t="s">
        <v>56</v>
      </c>
      <c r="M16" t="s">
        <v>11</v>
      </c>
    </row>
    <row r="17" spans="1:13" ht="86.4" x14ac:dyDescent="0.3">
      <c r="A17" t="s">
        <v>209</v>
      </c>
      <c r="B17" s="39">
        <v>46233</v>
      </c>
      <c r="C17" s="39">
        <v>0.65835648148148151</v>
      </c>
      <c r="D17" s="39">
        <v>0.65918981481481487</v>
      </c>
      <c r="E17" s="3">
        <v>0.02</v>
      </c>
      <c r="F17" t="s">
        <v>80</v>
      </c>
      <c r="G17" t="s">
        <v>5</v>
      </c>
      <c r="H17" t="s">
        <v>187</v>
      </c>
      <c r="I17" s="71" t="s">
        <v>229</v>
      </c>
      <c r="J17" t="s">
        <v>183</v>
      </c>
      <c r="K17" t="s">
        <v>66</v>
      </c>
      <c r="L17" t="s">
        <v>56</v>
      </c>
      <c r="M17" t="s">
        <v>11</v>
      </c>
    </row>
    <row r="18" spans="1:13" ht="86.4" x14ac:dyDescent="0.3">
      <c r="A18" t="s">
        <v>210</v>
      </c>
      <c r="B18" s="39">
        <v>46233</v>
      </c>
      <c r="C18" s="39">
        <v>0.65733796296296299</v>
      </c>
      <c r="D18" s="39">
        <v>0.65835648148148151</v>
      </c>
      <c r="E18" s="3">
        <v>2.4400000000000002E-2</v>
      </c>
      <c r="F18" t="s">
        <v>80</v>
      </c>
      <c r="G18" t="s">
        <v>5</v>
      </c>
      <c r="H18" t="s">
        <v>187</v>
      </c>
      <c r="I18" s="71" t="s">
        <v>192</v>
      </c>
      <c r="J18" t="s">
        <v>233</v>
      </c>
      <c r="K18" t="s">
        <v>66</v>
      </c>
      <c r="L18" t="s">
        <v>56</v>
      </c>
      <c r="M18" t="s">
        <v>11</v>
      </c>
    </row>
    <row r="19" spans="1:13" ht="86.4" x14ac:dyDescent="0.3">
      <c r="A19" t="s">
        <v>211</v>
      </c>
      <c r="B19" s="39">
        <v>46233</v>
      </c>
      <c r="C19" s="39">
        <v>0.65660879629629632</v>
      </c>
      <c r="D19" s="39">
        <v>0.65695601851851848</v>
      </c>
      <c r="E19" s="3">
        <v>8.3000000000000001E-3</v>
      </c>
      <c r="F19" t="s">
        <v>80</v>
      </c>
      <c r="G19" t="s">
        <v>6</v>
      </c>
      <c r="H19" t="s">
        <v>194</v>
      </c>
      <c r="I19" s="71" t="s">
        <v>212</v>
      </c>
      <c r="J19" t="s">
        <v>183</v>
      </c>
      <c r="K19" t="s">
        <v>66</v>
      </c>
      <c r="L19" t="s">
        <v>56</v>
      </c>
      <c r="M19" t="s">
        <v>11</v>
      </c>
    </row>
    <row r="20" spans="1:13" ht="23.25" customHeight="1" x14ac:dyDescent="0.3"/>
    <row r="21" spans="1:13" ht="23.25" customHeight="1" x14ac:dyDescent="0.3"/>
    <row r="22" spans="1:13" ht="23.25" customHeight="1" x14ac:dyDescent="0.3"/>
    <row r="23" spans="1:13" ht="23.25" customHeight="1" x14ac:dyDescent="0.3"/>
    <row r="24" spans="1:13" ht="23.25" customHeight="1" x14ac:dyDescent="0.3"/>
    <row r="25" spans="1:13" ht="23.25" customHeight="1" x14ac:dyDescent="0.3"/>
    <row r="26" spans="1:13" ht="23.25" customHeight="1" x14ac:dyDescent="0.3"/>
    <row r="27" spans="1:13" ht="23.25" customHeight="1" x14ac:dyDescent="0.3"/>
    <row r="28" spans="1:13" ht="23.25" customHeight="1" x14ac:dyDescent="0.3"/>
    <row r="29" spans="1:13" ht="23.25" customHeight="1" x14ac:dyDescent="0.3"/>
    <row r="30" spans="1:13" ht="23.25" customHeight="1" x14ac:dyDescent="0.3"/>
    <row r="31" spans="1:13" ht="23.25" customHeight="1" x14ac:dyDescent="0.3"/>
    <row r="32" spans="1:13" ht="23.25" customHeight="1" x14ac:dyDescent="0.3"/>
    <row r="33" ht="23.25" customHeight="1" x14ac:dyDescent="0.3"/>
    <row r="34" ht="23.25" customHeight="1" x14ac:dyDescent="0.3"/>
    <row r="35" ht="23.25" customHeight="1" x14ac:dyDescent="0.3"/>
    <row r="36" ht="23.25" customHeight="1" x14ac:dyDescent="0.3"/>
    <row r="37" ht="23.25" customHeight="1" x14ac:dyDescent="0.3"/>
    <row r="38" ht="23.25" customHeight="1" x14ac:dyDescent="0.3"/>
    <row r="39" ht="23.25" customHeight="1" x14ac:dyDescent="0.3"/>
    <row r="40" ht="23.25" customHeight="1" x14ac:dyDescent="0.3"/>
    <row r="41" ht="23.25" customHeight="1" x14ac:dyDescent="0.3"/>
    <row r="42" ht="23.25" customHeight="1" x14ac:dyDescent="0.3"/>
    <row r="43" ht="23.25" customHeight="1" x14ac:dyDescent="0.3"/>
    <row r="44" ht="23.25" customHeight="1" x14ac:dyDescent="0.3"/>
    <row r="45" ht="23.25" customHeight="1" x14ac:dyDescent="0.3"/>
    <row r="46" ht="23.25" customHeight="1" x14ac:dyDescent="0.3"/>
    <row r="47" ht="23.25" customHeight="1" x14ac:dyDescent="0.3"/>
    <row r="48" ht="23.25" customHeight="1" x14ac:dyDescent="0.3"/>
    <row r="49" ht="23.25" customHeight="1" x14ac:dyDescent="0.3"/>
    <row r="50" ht="23.25" customHeight="1" x14ac:dyDescent="0.3"/>
    <row r="51" ht="23.25" customHeight="1" x14ac:dyDescent="0.3"/>
    <row r="52" ht="23.25" customHeight="1" x14ac:dyDescent="0.3"/>
    <row r="53" ht="23.25" customHeight="1" x14ac:dyDescent="0.3"/>
    <row r="54" ht="23.25" customHeight="1" x14ac:dyDescent="0.3"/>
    <row r="55" ht="23.25" customHeight="1" x14ac:dyDescent="0.3"/>
    <row r="56" ht="23.25" customHeight="1" x14ac:dyDescent="0.3"/>
    <row r="57" ht="23.25" customHeight="1" x14ac:dyDescent="0.3"/>
    <row r="58" ht="23.25" customHeight="1" x14ac:dyDescent="0.3"/>
    <row r="59" ht="23.25" customHeight="1" x14ac:dyDescent="0.3"/>
    <row r="60" ht="23.25" customHeight="1" x14ac:dyDescent="0.3"/>
    <row r="61" ht="23.25" customHeight="1" x14ac:dyDescent="0.3"/>
    <row r="62" ht="23.25" customHeight="1" x14ac:dyDescent="0.3"/>
    <row r="63" ht="23.25" customHeight="1" x14ac:dyDescent="0.3"/>
    <row r="64" ht="23.25" customHeight="1" x14ac:dyDescent="0.3"/>
    <row r="65" ht="23.25" customHeight="1" x14ac:dyDescent="0.3"/>
    <row r="66" ht="23.25" customHeight="1" x14ac:dyDescent="0.3"/>
    <row r="67" ht="23.25" customHeight="1" x14ac:dyDescent="0.3"/>
    <row r="68" ht="23.25" customHeight="1" x14ac:dyDescent="0.3"/>
    <row r="69" ht="23.25" customHeight="1" x14ac:dyDescent="0.3"/>
    <row r="70" ht="23.25" customHeight="1" x14ac:dyDescent="0.3"/>
    <row r="71" ht="23.25" customHeight="1" x14ac:dyDescent="0.3"/>
    <row r="72" ht="23.25" customHeight="1" x14ac:dyDescent="0.3"/>
    <row r="73" ht="23.25" customHeight="1" x14ac:dyDescent="0.3"/>
    <row r="74" ht="23.25" customHeight="1" x14ac:dyDescent="0.3"/>
    <row r="75" ht="23.25" customHeight="1" x14ac:dyDescent="0.3"/>
    <row r="76" ht="23.25" customHeight="1" x14ac:dyDescent="0.3"/>
    <row r="77" ht="23.25" customHeight="1" x14ac:dyDescent="0.3"/>
    <row r="78" ht="23.25" customHeight="1" x14ac:dyDescent="0.3"/>
    <row r="79" ht="23.25" customHeight="1" x14ac:dyDescent="0.3"/>
    <row r="80" ht="23.25" customHeight="1" x14ac:dyDescent="0.3"/>
    <row r="81" ht="23.25" customHeight="1" x14ac:dyDescent="0.3"/>
    <row r="82" ht="23.25" customHeight="1" x14ac:dyDescent="0.3"/>
    <row r="83" ht="23.25" customHeight="1" x14ac:dyDescent="0.3"/>
    <row r="84" ht="23.25" customHeight="1" x14ac:dyDescent="0.3"/>
    <row r="85" ht="23.25" customHeight="1" x14ac:dyDescent="0.3"/>
    <row r="86" ht="23.25" customHeight="1" x14ac:dyDescent="0.3"/>
    <row r="87" ht="23.25" customHeight="1" x14ac:dyDescent="0.3"/>
    <row r="88" ht="23.25" customHeight="1" x14ac:dyDescent="0.3"/>
    <row r="89" ht="23.25" customHeight="1" x14ac:dyDescent="0.3"/>
    <row r="90" ht="23.25" customHeight="1" x14ac:dyDescent="0.3"/>
    <row r="91" ht="23.25" customHeight="1" x14ac:dyDescent="0.3"/>
    <row r="92" ht="23.25" customHeight="1" x14ac:dyDescent="0.3"/>
    <row r="93" ht="23.25" customHeight="1" x14ac:dyDescent="0.3"/>
    <row r="94" ht="23.25" customHeight="1" x14ac:dyDescent="0.3"/>
    <row r="95" ht="23.25" customHeight="1" x14ac:dyDescent="0.3"/>
    <row r="96" ht="23.25" customHeight="1" x14ac:dyDescent="0.3"/>
    <row r="97" ht="23.25" customHeight="1" x14ac:dyDescent="0.3"/>
    <row r="98" ht="23.25" customHeight="1" x14ac:dyDescent="0.3"/>
    <row r="99" ht="23.25" customHeight="1" x14ac:dyDescent="0.3"/>
  </sheetData>
  <conditionalFormatting sqref="M25:M115">
    <cfRule type="expression" dxfId="56" priority="5">
      <formula>$G25="Critical"</formula>
    </cfRule>
    <cfRule type="expression" dxfId="55" priority="6">
      <formula>$G25="High"</formula>
    </cfRule>
    <cfRule type="expression" dxfId="54" priority="7">
      <formula>AND($L25="Open",$B25&lt;TODAY()-1)</formula>
    </cfRule>
  </conditionalFormatting>
  <conditionalFormatting sqref="A25:L115">
    <cfRule type="expression" dxfId="53" priority="8">
      <formula>$G25="Critical"</formula>
    </cfRule>
    <cfRule type="expression" dxfId="52" priority="9">
      <formula>$G25="High"</formula>
    </cfRule>
    <cfRule type="expression" dxfId="51" priority="10">
      <formula>AND($L25="Open",$B25&lt;TODAY()-1)</formula>
    </cfRule>
  </conditionalFormatting>
  <dataValidations count="4">
    <dataValidation type="list" allowBlank="1" errorTitle="Invalid Entry" error="Please select from the list" sqref="G25:G115" xr:uid="{00000000-0002-0000-0200-000000000000}">
      <formula1>"Critical,High,Medium,Low"</formula1>
      <formula2>0</formula2>
    </dataValidation>
    <dataValidation type="list" allowBlank="1" sqref="L25:L115" xr:uid="{00000000-0002-0000-0200-000001000000}">
      <formula1>"Open,In Progress,Resolved,Closed,On Hold"</formula1>
      <formula2>0</formula2>
    </dataValidation>
    <dataValidation type="list" allowBlank="1" sqref="F25:F115" xr:uid="{00000000-0002-0000-0200-000002000000}">
      <formula1>"Yes,No"</formula1>
      <formula2>0</formula2>
    </dataValidation>
    <dataValidation type="list" allowBlank="1" sqref="M25:M115" xr:uid="{00000000-0002-0000-0200-000003000000}">
      <formula1>"Oracle,MySQL,MS SQL Server,PostgreSQL"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3"/>
  <sheetViews>
    <sheetView zoomScaleNormal="100" workbookViewId="0">
      <pane ySplit="1" topLeftCell="A2" activePane="bottomLeft" state="frozen"/>
      <selection pane="bottomLeft" activeCell="F19" sqref="F19"/>
    </sheetView>
  </sheetViews>
  <sheetFormatPr defaultColWidth="23.109375" defaultRowHeight="14.4" x14ac:dyDescent="0.3"/>
  <cols>
    <col min="1" max="1" width="15.88671875" style="36" bestFit="1" customWidth="1"/>
    <col min="2" max="2" width="12.6640625" bestFit="1" customWidth="1"/>
    <col min="3" max="3" width="9.33203125" bestFit="1" customWidth="1"/>
    <col min="4" max="4" width="11.44140625" bestFit="1" customWidth="1"/>
    <col min="5" max="5" width="12.77734375" bestFit="1" customWidth="1"/>
    <col min="6" max="6" width="16.6640625" bestFit="1" customWidth="1"/>
    <col min="7" max="7" width="11.109375" bestFit="1" customWidth="1"/>
    <col min="8" max="8" width="14.33203125" bestFit="1" customWidth="1"/>
    <col min="9" max="9" width="11" bestFit="1" customWidth="1"/>
    <col min="10" max="10" width="10" bestFit="1" customWidth="1"/>
    <col min="11" max="11" width="10.21875" bestFit="1" customWidth="1"/>
  </cols>
  <sheetData>
    <row r="1" spans="1:10" x14ac:dyDescent="0.3">
      <c r="A1" s="37" t="s">
        <v>71</v>
      </c>
      <c r="B1" s="35" t="s">
        <v>72</v>
      </c>
      <c r="C1" s="35" t="s">
        <v>73</v>
      </c>
      <c r="D1" s="35" t="s">
        <v>74</v>
      </c>
      <c r="E1" s="35" t="s">
        <v>75</v>
      </c>
      <c r="F1" s="35" t="s">
        <v>76</v>
      </c>
      <c r="G1" s="35" t="s">
        <v>77</v>
      </c>
      <c r="H1" s="35" t="s">
        <v>132</v>
      </c>
      <c r="I1" s="35" t="s">
        <v>7</v>
      </c>
      <c r="J1" s="35" t="s">
        <v>0</v>
      </c>
    </row>
    <row r="2" spans="1:10" x14ac:dyDescent="0.3">
      <c r="A2" s="36">
        <v>46224</v>
      </c>
      <c r="B2" t="s">
        <v>78</v>
      </c>
      <c r="C2" t="s">
        <v>79</v>
      </c>
      <c r="D2" t="s">
        <v>80</v>
      </c>
      <c r="E2" t="s">
        <v>80</v>
      </c>
      <c r="F2">
        <v>0</v>
      </c>
      <c r="G2" t="s">
        <v>164</v>
      </c>
      <c r="H2" t="s">
        <v>48</v>
      </c>
      <c r="I2" t="s">
        <v>12</v>
      </c>
      <c r="J2" t="s">
        <v>6</v>
      </c>
    </row>
    <row r="3" spans="1:10" x14ac:dyDescent="0.3">
      <c r="A3" s="36">
        <v>46224</v>
      </c>
      <c r="B3" t="s">
        <v>78</v>
      </c>
      <c r="C3" t="s">
        <v>79</v>
      </c>
      <c r="D3" t="s">
        <v>80</v>
      </c>
      <c r="E3" t="s">
        <v>80</v>
      </c>
      <c r="F3">
        <v>0</v>
      </c>
      <c r="G3" t="s">
        <v>164</v>
      </c>
      <c r="H3" t="s">
        <v>48</v>
      </c>
      <c r="I3" t="s">
        <v>12</v>
      </c>
      <c r="J3" t="s">
        <v>6</v>
      </c>
    </row>
    <row r="4" spans="1:10" x14ac:dyDescent="0.3">
      <c r="A4" s="36">
        <v>46224</v>
      </c>
      <c r="B4" t="s">
        <v>78</v>
      </c>
      <c r="C4" t="s">
        <v>79</v>
      </c>
      <c r="D4" t="s">
        <v>80</v>
      </c>
      <c r="E4" t="s">
        <v>80</v>
      </c>
      <c r="F4">
        <v>0</v>
      </c>
      <c r="G4" t="s">
        <v>164</v>
      </c>
      <c r="H4" t="s">
        <v>48</v>
      </c>
      <c r="I4" t="s">
        <v>12</v>
      </c>
      <c r="J4" t="s">
        <v>6</v>
      </c>
    </row>
    <row r="5" spans="1:10" x14ac:dyDescent="0.3">
      <c r="A5" s="36">
        <v>46224</v>
      </c>
      <c r="B5" t="s">
        <v>78</v>
      </c>
      <c r="C5" t="s">
        <v>79</v>
      </c>
      <c r="D5" t="s">
        <v>80</v>
      </c>
      <c r="E5" t="s">
        <v>80</v>
      </c>
      <c r="F5">
        <v>0</v>
      </c>
      <c r="G5" t="s">
        <v>164</v>
      </c>
      <c r="H5" t="s">
        <v>48</v>
      </c>
      <c r="I5" t="s">
        <v>12</v>
      </c>
      <c r="J5" t="s">
        <v>6</v>
      </c>
    </row>
    <row r="6" spans="1:10" x14ac:dyDescent="0.3">
      <c r="A6" s="36">
        <v>46224</v>
      </c>
      <c r="B6" t="s">
        <v>78</v>
      </c>
      <c r="C6" t="s">
        <v>79</v>
      </c>
      <c r="D6" t="s">
        <v>80</v>
      </c>
      <c r="E6" t="s">
        <v>80</v>
      </c>
      <c r="F6">
        <v>0</v>
      </c>
      <c r="G6" t="s">
        <v>164</v>
      </c>
      <c r="H6" t="s">
        <v>48</v>
      </c>
      <c r="I6" t="s">
        <v>12</v>
      </c>
      <c r="J6" t="s">
        <v>6</v>
      </c>
    </row>
    <row r="7" spans="1:10" x14ac:dyDescent="0.3">
      <c r="A7" s="36">
        <v>46224</v>
      </c>
      <c r="B7" t="s">
        <v>78</v>
      </c>
      <c r="C7" t="s">
        <v>79</v>
      </c>
      <c r="D7" t="s">
        <v>80</v>
      </c>
      <c r="E7" t="s">
        <v>80</v>
      </c>
      <c r="F7">
        <v>0</v>
      </c>
      <c r="G7" t="s">
        <v>164</v>
      </c>
      <c r="H7" t="s">
        <v>48</v>
      </c>
      <c r="I7" t="s">
        <v>12</v>
      </c>
      <c r="J7" t="s">
        <v>6</v>
      </c>
    </row>
    <row r="8" spans="1:10" x14ac:dyDescent="0.3">
      <c r="A8" s="36">
        <v>46224</v>
      </c>
      <c r="B8" t="s">
        <v>78</v>
      </c>
      <c r="C8" t="s">
        <v>79</v>
      </c>
      <c r="D8" t="s">
        <v>80</v>
      </c>
      <c r="E8" t="s">
        <v>80</v>
      </c>
      <c r="F8">
        <v>0</v>
      </c>
      <c r="G8" t="s">
        <v>164</v>
      </c>
      <c r="H8" t="s">
        <v>48</v>
      </c>
      <c r="I8" t="s">
        <v>12</v>
      </c>
      <c r="J8" t="s">
        <v>6</v>
      </c>
    </row>
    <row r="9" spans="1:10" x14ac:dyDescent="0.3">
      <c r="A9" s="36">
        <v>46224</v>
      </c>
      <c r="B9" t="s">
        <v>78</v>
      </c>
      <c r="C9" t="s">
        <v>79</v>
      </c>
      <c r="D9" t="s">
        <v>80</v>
      </c>
      <c r="E9" t="s">
        <v>80</v>
      </c>
      <c r="F9">
        <v>0</v>
      </c>
      <c r="G9" t="s">
        <v>164</v>
      </c>
      <c r="H9" t="s">
        <v>48</v>
      </c>
      <c r="I9" t="s">
        <v>12</v>
      </c>
      <c r="J9" t="s">
        <v>6</v>
      </c>
    </row>
    <row r="10" spans="1:10" x14ac:dyDescent="0.3">
      <c r="A10" s="36">
        <v>46224</v>
      </c>
      <c r="B10" t="s">
        <v>78</v>
      </c>
      <c r="C10" t="s">
        <v>79</v>
      </c>
      <c r="D10" t="s">
        <v>80</v>
      </c>
      <c r="E10" t="s">
        <v>80</v>
      </c>
      <c r="F10">
        <v>0</v>
      </c>
      <c r="G10" t="s">
        <v>164</v>
      </c>
      <c r="H10" t="s">
        <v>48</v>
      </c>
      <c r="I10" t="s">
        <v>12</v>
      </c>
      <c r="J10" t="s">
        <v>6</v>
      </c>
    </row>
    <row r="11" spans="1:10" x14ac:dyDescent="0.3">
      <c r="A11" s="36">
        <v>46224</v>
      </c>
      <c r="B11" t="s">
        <v>78</v>
      </c>
      <c r="C11" t="s">
        <v>79</v>
      </c>
      <c r="D11" t="s">
        <v>80</v>
      </c>
      <c r="E11" t="s">
        <v>80</v>
      </c>
      <c r="F11">
        <v>0</v>
      </c>
      <c r="G11" t="s">
        <v>164</v>
      </c>
      <c r="H11" t="s">
        <v>48</v>
      </c>
      <c r="I11" t="s">
        <v>12</v>
      </c>
      <c r="J11" t="s">
        <v>6</v>
      </c>
    </row>
    <row r="12" spans="1:10" x14ac:dyDescent="0.3">
      <c r="A12" s="36">
        <v>46224</v>
      </c>
      <c r="B12" t="s">
        <v>78</v>
      </c>
      <c r="C12" t="s">
        <v>79</v>
      </c>
      <c r="D12" t="s">
        <v>80</v>
      </c>
      <c r="E12" t="s">
        <v>80</v>
      </c>
      <c r="F12">
        <v>0</v>
      </c>
      <c r="G12" t="s">
        <v>164</v>
      </c>
      <c r="H12" t="s">
        <v>48</v>
      </c>
      <c r="I12" t="s">
        <v>12</v>
      </c>
      <c r="J12" t="s">
        <v>6</v>
      </c>
    </row>
    <row r="13" spans="1:10" x14ac:dyDescent="0.3">
      <c r="A13" s="36">
        <v>46224</v>
      </c>
      <c r="B13" t="s">
        <v>78</v>
      </c>
      <c r="C13" t="s">
        <v>79</v>
      </c>
      <c r="D13" t="s">
        <v>80</v>
      </c>
      <c r="E13" t="s">
        <v>80</v>
      </c>
      <c r="F13">
        <v>0</v>
      </c>
      <c r="G13" t="s">
        <v>164</v>
      </c>
      <c r="H13" t="s">
        <v>48</v>
      </c>
      <c r="I13" t="s">
        <v>12</v>
      </c>
      <c r="J13" t="s">
        <v>6</v>
      </c>
    </row>
    <row r="14" spans="1:10" x14ac:dyDescent="0.3">
      <c r="A14" s="36">
        <v>46224</v>
      </c>
      <c r="B14" t="s">
        <v>78</v>
      </c>
      <c r="C14" t="s">
        <v>79</v>
      </c>
      <c r="D14" t="s">
        <v>80</v>
      </c>
      <c r="E14" t="s">
        <v>80</v>
      </c>
      <c r="F14">
        <v>0</v>
      </c>
      <c r="G14" t="s">
        <v>164</v>
      </c>
      <c r="H14" t="s">
        <v>48</v>
      </c>
      <c r="I14" t="s">
        <v>12</v>
      </c>
      <c r="J14" t="s">
        <v>6</v>
      </c>
    </row>
    <row r="15" spans="1:10" x14ac:dyDescent="0.3">
      <c r="A15" s="36">
        <v>46224</v>
      </c>
      <c r="B15" t="s">
        <v>78</v>
      </c>
      <c r="C15" t="s">
        <v>79</v>
      </c>
      <c r="D15" t="s">
        <v>80</v>
      </c>
      <c r="E15" t="s">
        <v>80</v>
      </c>
      <c r="F15">
        <v>0</v>
      </c>
      <c r="G15" t="s">
        <v>164</v>
      </c>
      <c r="H15" t="s">
        <v>48</v>
      </c>
      <c r="I15" t="s">
        <v>12</v>
      </c>
      <c r="J15" t="s">
        <v>6</v>
      </c>
    </row>
    <row r="16" spans="1:10" x14ac:dyDescent="0.3">
      <c r="A16" s="36">
        <v>46225</v>
      </c>
      <c r="B16" t="s">
        <v>78</v>
      </c>
      <c r="C16" t="s">
        <v>79</v>
      </c>
      <c r="D16" t="s">
        <v>80</v>
      </c>
      <c r="E16" t="s">
        <v>80</v>
      </c>
      <c r="F16">
        <v>0</v>
      </c>
      <c r="G16" t="s">
        <v>164</v>
      </c>
      <c r="H16" t="s">
        <v>48</v>
      </c>
      <c r="I16" t="s">
        <v>12</v>
      </c>
      <c r="J16" t="s">
        <v>6</v>
      </c>
    </row>
    <row r="17" spans="1:10" x14ac:dyDescent="0.3">
      <c r="A17" s="36">
        <v>46225</v>
      </c>
      <c r="B17" t="s">
        <v>78</v>
      </c>
      <c r="C17" t="s">
        <v>79</v>
      </c>
      <c r="D17" t="s">
        <v>80</v>
      </c>
      <c r="E17" t="s">
        <v>80</v>
      </c>
      <c r="F17">
        <v>0</v>
      </c>
      <c r="G17" t="s">
        <v>164</v>
      </c>
      <c r="H17" t="s">
        <v>48</v>
      </c>
      <c r="I17" t="s">
        <v>12</v>
      </c>
      <c r="J17" t="s">
        <v>6</v>
      </c>
    </row>
    <row r="18" spans="1:10" x14ac:dyDescent="0.3">
      <c r="A18" s="36">
        <v>46225</v>
      </c>
      <c r="B18" t="s">
        <v>78</v>
      </c>
      <c r="C18" t="s">
        <v>79</v>
      </c>
      <c r="D18" t="s">
        <v>80</v>
      </c>
      <c r="E18" t="s">
        <v>80</v>
      </c>
      <c r="F18">
        <v>0</v>
      </c>
      <c r="G18" t="s">
        <v>164</v>
      </c>
      <c r="H18" t="s">
        <v>48</v>
      </c>
      <c r="I18" t="s">
        <v>12</v>
      </c>
      <c r="J18" t="s">
        <v>6</v>
      </c>
    </row>
    <row r="19" spans="1:10" x14ac:dyDescent="0.3">
      <c r="A19" s="36">
        <v>46225</v>
      </c>
      <c r="B19" t="s">
        <v>78</v>
      </c>
      <c r="C19" t="s">
        <v>79</v>
      </c>
      <c r="D19" t="s">
        <v>80</v>
      </c>
      <c r="E19" t="s">
        <v>80</v>
      </c>
      <c r="F19">
        <v>0</v>
      </c>
      <c r="G19" t="s">
        <v>164</v>
      </c>
      <c r="H19" t="s">
        <v>48</v>
      </c>
      <c r="I19" t="s">
        <v>12</v>
      </c>
      <c r="J19" t="s">
        <v>6</v>
      </c>
    </row>
    <row r="20" spans="1:10" x14ac:dyDescent="0.3">
      <c r="A20" s="36">
        <v>46225</v>
      </c>
      <c r="B20" t="s">
        <v>78</v>
      </c>
      <c r="C20" t="s">
        <v>79</v>
      </c>
      <c r="D20" t="s">
        <v>80</v>
      </c>
      <c r="E20" t="s">
        <v>80</v>
      </c>
      <c r="F20">
        <v>0</v>
      </c>
      <c r="G20" t="s">
        <v>164</v>
      </c>
      <c r="H20" t="s">
        <v>48</v>
      </c>
      <c r="I20" t="s">
        <v>12</v>
      </c>
      <c r="J20" t="s">
        <v>6</v>
      </c>
    </row>
    <row r="21" spans="1:10" x14ac:dyDescent="0.3">
      <c r="A21" s="36">
        <v>46225</v>
      </c>
      <c r="B21" t="s">
        <v>78</v>
      </c>
      <c r="C21" t="s">
        <v>79</v>
      </c>
      <c r="D21" t="s">
        <v>80</v>
      </c>
      <c r="E21" t="s">
        <v>80</v>
      </c>
      <c r="F21">
        <v>0</v>
      </c>
      <c r="G21" t="s">
        <v>164</v>
      </c>
      <c r="H21" t="s">
        <v>48</v>
      </c>
      <c r="I21" t="s">
        <v>12</v>
      </c>
      <c r="J21" t="s">
        <v>6</v>
      </c>
    </row>
    <row r="22" spans="1:10" x14ac:dyDescent="0.3">
      <c r="A22" s="36">
        <v>46225</v>
      </c>
      <c r="B22" t="s">
        <v>78</v>
      </c>
      <c r="C22" t="s">
        <v>79</v>
      </c>
      <c r="D22" t="s">
        <v>80</v>
      </c>
      <c r="E22" t="s">
        <v>80</v>
      </c>
      <c r="F22">
        <v>0</v>
      </c>
      <c r="G22" t="s">
        <v>164</v>
      </c>
      <c r="H22" t="s">
        <v>48</v>
      </c>
      <c r="I22" t="s">
        <v>12</v>
      </c>
      <c r="J22" t="s">
        <v>6</v>
      </c>
    </row>
    <row r="23" spans="1:10" x14ac:dyDescent="0.3">
      <c r="A23" s="36">
        <v>46225</v>
      </c>
      <c r="B23" t="s">
        <v>78</v>
      </c>
      <c r="C23" t="s">
        <v>79</v>
      </c>
      <c r="D23" t="s">
        <v>80</v>
      </c>
      <c r="E23" t="s">
        <v>80</v>
      </c>
      <c r="F23">
        <v>0</v>
      </c>
      <c r="G23" t="s">
        <v>164</v>
      </c>
      <c r="H23" t="s">
        <v>48</v>
      </c>
      <c r="I23" t="s">
        <v>12</v>
      </c>
      <c r="J23" t="s">
        <v>6</v>
      </c>
    </row>
    <row r="24" spans="1:10" x14ac:dyDescent="0.3">
      <c r="A24" s="36">
        <v>46225</v>
      </c>
      <c r="B24" t="s">
        <v>78</v>
      </c>
      <c r="C24" t="s">
        <v>79</v>
      </c>
      <c r="D24" t="s">
        <v>80</v>
      </c>
      <c r="E24" t="s">
        <v>80</v>
      </c>
      <c r="F24">
        <v>0</v>
      </c>
      <c r="G24" t="s">
        <v>164</v>
      </c>
      <c r="H24" t="s">
        <v>48</v>
      </c>
      <c r="I24" t="s">
        <v>12</v>
      </c>
      <c r="J24" t="s">
        <v>6</v>
      </c>
    </row>
    <row r="25" spans="1:10" x14ac:dyDescent="0.3">
      <c r="A25" s="36">
        <v>46225</v>
      </c>
      <c r="B25" t="s">
        <v>78</v>
      </c>
      <c r="C25" t="s">
        <v>79</v>
      </c>
      <c r="D25" t="s">
        <v>80</v>
      </c>
      <c r="E25" t="s">
        <v>80</v>
      </c>
      <c r="F25">
        <v>0</v>
      </c>
      <c r="G25" t="s">
        <v>164</v>
      </c>
      <c r="H25" t="s">
        <v>48</v>
      </c>
      <c r="I25" t="s">
        <v>12</v>
      </c>
      <c r="J25" t="s">
        <v>6</v>
      </c>
    </row>
    <row r="26" spans="1:10" x14ac:dyDescent="0.3">
      <c r="A26" s="36">
        <v>46225</v>
      </c>
      <c r="B26" t="s">
        <v>78</v>
      </c>
      <c r="C26" t="s">
        <v>79</v>
      </c>
      <c r="D26" t="s">
        <v>80</v>
      </c>
      <c r="E26" t="s">
        <v>80</v>
      </c>
      <c r="F26">
        <v>0</v>
      </c>
      <c r="G26" t="s">
        <v>164</v>
      </c>
      <c r="H26" t="s">
        <v>48</v>
      </c>
      <c r="I26" t="s">
        <v>12</v>
      </c>
      <c r="J26" t="s">
        <v>6</v>
      </c>
    </row>
    <row r="27" spans="1:10" x14ac:dyDescent="0.3">
      <c r="A27" s="36">
        <v>46225</v>
      </c>
      <c r="B27" t="s">
        <v>78</v>
      </c>
      <c r="C27" t="s">
        <v>79</v>
      </c>
      <c r="D27" t="s">
        <v>80</v>
      </c>
      <c r="E27" t="s">
        <v>80</v>
      </c>
      <c r="F27">
        <v>0</v>
      </c>
      <c r="G27" t="s">
        <v>164</v>
      </c>
      <c r="H27" t="s">
        <v>48</v>
      </c>
      <c r="I27" t="s">
        <v>12</v>
      </c>
      <c r="J27" t="s">
        <v>6</v>
      </c>
    </row>
    <row r="28" spans="1:10" x14ac:dyDescent="0.3">
      <c r="A28" s="36">
        <v>46225</v>
      </c>
      <c r="B28" t="s">
        <v>78</v>
      </c>
      <c r="C28" t="s">
        <v>79</v>
      </c>
      <c r="D28" t="s">
        <v>80</v>
      </c>
      <c r="E28" t="s">
        <v>80</v>
      </c>
      <c r="F28">
        <v>0</v>
      </c>
      <c r="G28" t="s">
        <v>164</v>
      </c>
      <c r="H28" t="s">
        <v>48</v>
      </c>
      <c r="I28" t="s">
        <v>12</v>
      </c>
      <c r="J28" t="s">
        <v>6</v>
      </c>
    </row>
    <row r="29" spans="1:10" x14ac:dyDescent="0.3">
      <c r="A29" s="36">
        <v>46225</v>
      </c>
      <c r="B29" t="s">
        <v>78</v>
      </c>
      <c r="C29" t="s">
        <v>79</v>
      </c>
      <c r="D29" t="s">
        <v>80</v>
      </c>
      <c r="E29" t="s">
        <v>80</v>
      </c>
      <c r="F29">
        <v>0</v>
      </c>
      <c r="G29" t="s">
        <v>164</v>
      </c>
      <c r="H29" t="s">
        <v>48</v>
      </c>
      <c r="I29" t="s">
        <v>12</v>
      </c>
      <c r="J29" t="s">
        <v>6</v>
      </c>
    </row>
    <row r="30" spans="1:10" x14ac:dyDescent="0.3">
      <c r="A30" s="36">
        <v>46227</v>
      </c>
      <c r="B30" t="s">
        <v>78</v>
      </c>
      <c r="C30" t="s">
        <v>79</v>
      </c>
      <c r="D30" t="s">
        <v>80</v>
      </c>
      <c r="E30" t="s">
        <v>80</v>
      </c>
      <c r="F30">
        <v>0</v>
      </c>
      <c r="G30" t="s">
        <v>164</v>
      </c>
      <c r="H30" t="s">
        <v>48</v>
      </c>
      <c r="I30" t="s">
        <v>12</v>
      </c>
      <c r="J30" t="s">
        <v>6</v>
      </c>
    </row>
    <row r="31" spans="1:10" x14ac:dyDescent="0.3">
      <c r="A31" s="36">
        <v>46232</v>
      </c>
      <c r="B31" t="s">
        <v>78</v>
      </c>
      <c r="C31" t="s">
        <v>79</v>
      </c>
      <c r="D31" t="s">
        <v>80</v>
      </c>
      <c r="E31" t="s">
        <v>80</v>
      </c>
      <c r="F31">
        <v>0</v>
      </c>
      <c r="G31" t="s">
        <v>164</v>
      </c>
      <c r="H31" t="s">
        <v>48</v>
      </c>
      <c r="I31" t="s">
        <v>12</v>
      </c>
      <c r="J31" t="s">
        <v>6</v>
      </c>
    </row>
    <row r="32" spans="1:10" x14ac:dyDescent="0.3">
      <c r="A32" s="36">
        <v>46234</v>
      </c>
      <c r="B32" t="s">
        <v>78</v>
      </c>
      <c r="C32" t="s">
        <v>79</v>
      </c>
      <c r="D32" t="s">
        <v>80</v>
      </c>
      <c r="E32" t="s">
        <v>80</v>
      </c>
      <c r="F32">
        <v>0</v>
      </c>
      <c r="G32" t="s">
        <v>164</v>
      </c>
      <c r="H32" t="s">
        <v>48</v>
      </c>
      <c r="I32" t="s">
        <v>12</v>
      </c>
      <c r="J32" t="s">
        <v>6</v>
      </c>
    </row>
    <row r="33" spans="2:7" ht="18" customHeight="1" x14ac:dyDescent="0.3">
      <c r="B33" s="35"/>
      <c r="C33" s="35"/>
      <c r="F33" s="35"/>
      <c r="G33" s="35"/>
    </row>
    <row r="34" spans="2:7" ht="18" customHeight="1" x14ac:dyDescent="0.3">
      <c r="B34" s="35"/>
      <c r="C34" s="35"/>
      <c r="F34" s="35"/>
      <c r="G34" s="35"/>
    </row>
    <row r="35" spans="2:7" ht="18" customHeight="1" x14ac:dyDescent="0.3">
      <c r="B35" s="35"/>
      <c r="C35" s="35"/>
      <c r="F35" s="35"/>
      <c r="G35" s="35"/>
    </row>
    <row r="36" spans="2:7" ht="18" customHeight="1" x14ac:dyDescent="0.3">
      <c r="B36" s="35"/>
      <c r="C36" s="35"/>
      <c r="F36" s="35"/>
      <c r="G36" s="35"/>
    </row>
    <row r="37" spans="2:7" ht="18" customHeight="1" x14ac:dyDescent="0.3">
      <c r="B37" s="35"/>
      <c r="C37" s="35"/>
      <c r="F37" s="35"/>
      <c r="G37" s="35"/>
    </row>
    <row r="38" spans="2:7" ht="18" customHeight="1" x14ac:dyDescent="0.3">
      <c r="B38" s="35"/>
      <c r="C38" s="35"/>
      <c r="F38" s="35"/>
      <c r="G38" s="35"/>
    </row>
    <row r="39" spans="2:7" ht="18" customHeight="1" x14ac:dyDescent="0.3">
      <c r="B39" s="35"/>
      <c r="C39" s="35"/>
      <c r="F39" s="35"/>
      <c r="G39" s="35"/>
    </row>
    <row r="40" spans="2:7" ht="18" customHeight="1" x14ac:dyDescent="0.3">
      <c r="B40" s="35"/>
      <c r="C40" s="35"/>
      <c r="F40" s="35"/>
      <c r="G40" s="35"/>
    </row>
    <row r="41" spans="2:7" ht="18" customHeight="1" x14ac:dyDescent="0.3">
      <c r="B41" s="35"/>
      <c r="C41" s="35"/>
      <c r="F41" s="35"/>
      <c r="G41" s="35"/>
    </row>
    <row r="42" spans="2:7" ht="18" customHeight="1" x14ac:dyDescent="0.3">
      <c r="B42" s="35"/>
      <c r="C42" s="35"/>
      <c r="F42" s="35"/>
      <c r="G42" s="35"/>
    </row>
    <row r="43" spans="2:7" ht="18" customHeight="1" x14ac:dyDescent="0.3">
      <c r="B43" s="35"/>
      <c r="C43" s="35"/>
      <c r="F43" s="35"/>
      <c r="G43" s="35"/>
    </row>
    <row r="44" spans="2:7" ht="18" customHeight="1" x14ac:dyDescent="0.3">
      <c r="B44" s="35"/>
      <c r="C44" s="35"/>
      <c r="F44" s="35"/>
      <c r="G44" s="35"/>
    </row>
    <row r="45" spans="2:7" ht="18" customHeight="1" x14ac:dyDescent="0.3">
      <c r="B45" s="35"/>
      <c r="C45" s="35"/>
      <c r="F45" s="35"/>
      <c r="G45" s="35"/>
    </row>
    <row r="46" spans="2:7" ht="18" customHeight="1" x14ac:dyDescent="0.3">
      <c r="B46" s="35"/>
      <c r="C46" s="35"/>
      <c r="F46" s="35"/>
      <c r="G46" s="35"/>
    </row>
    <row r="47" spans="2:7" ht="18" customHeight="1" x14ac:dyDescent="0.3">
      <c r="B47" s="35"/>
      <c r="C47" s="35"/>
      <c r="F47" s="35"/>
      <c r="G47" s="35"/>
    </row>
    <row r="48" spans="2:7" ht="18" customHeight="1" x14ac:dyDescent="0.3">
      <c r="B48" s="35"/>
      <c r="C48" s="35"/>
      <c r="F48" s="35"/>
      <c r="G48" s="35"/>
    </row>
    <row r="49" spans="2:7" ht="18" customHeight="1" x14ac:dyDescent="0.3">
      <c r="B49" s="35"/>
      <c r="C49" s="35"/>
      <c r="F49" s="35"/>
      <c r="G49" s="35"/>
    </row>
    <row r="50" spans="2:7" ht="18" customHeight="1" x14ac:dyDescent="0.3">
      <c r="B50" s="35"/>
      <c r="C50" s="35"/>
      <c r="F50" s="35"/>
      <c r="G50" s="35"/>
    </row>
    <row r="51" spans="2:7" ht="18" customHeight="1" x14ac:dyDescent="0.3">
      <c r="B51" s="35"/>
      <c r="C51" s="35"/>
      <c r="F51" s="35"/>
      <c r="G51" s="35"/>
    </row>
    <row r="52" spans="2:7" ht="18" customHeight="1" x14ac:dyDescent="0.3">
      <c r="B52" s="35"/>
      <c r="C52" s="35"/>
      <c r="F52" s="35"/>
      <c r="G52" s="35"/>
    </row>
    <row r="53" spans="2:7" ht="18" customHeight="1" x14ac:dyDescent="0.3">
      <c r="B53" s="35"/>
      <c r="C53" s="35"/>
      <c r="F53" s="35"/>
      <c r="G53" s="35"/>
    </row>
    <row r="54" spans="2:7" ht="18" customHeight="1" x14ac:dyDescent="0.3">
      <c r="B54" s="35"/>
      <c r="C54" s="35"/>
      <c r="F54" s="35"/>
      <c r="G54" s="35"/>
    </row>
    <row r="55" spans="2:7" ht="18" customHeight="1" x14ac:dyDescent="0.3">
      <c r="B55" s="35"/>
      <c r="C55" s="35"/>
      <c r="F55" s="35"/>
      <c r="G55" s="35"/>
    </row>
    <row r="56" spans="2:7" ht="18" customHeight="1" x14ac:dyDescent="0.3">
      <c r="B56" s="35"/>
      <c r="C56" s="35"/>
      <c r="F56" s="35"/>
      <c r="G56" s="35"/>
    </row>
    <row r="57" spans="2:7" ht="18" customHeight="1" x14ac:dyDescent="0.3">
      <c r="B57" s="35"/>
      <c r="C57" s="35"/>
      <c r="F57" s="35"/>
      <c r="G57" s="35"/>
    </row>
    <row r="58" spans="2:7" ht="18" customHeight="1" x14ac:dyDescent="0.3">
      <c r="B58" s="35"/>
      <c r="C58" s="35"/>
      <c r="F58" s="35"/>
      <c r="G58" s="35"/>
    </row>
    <row r="59" spans="2:7" ht="18" customHeight="1" x14ac:dyDescent="0.3">
      <c r="B59" s="35"/>
      <c r="C59" s="35"/>
      <c r="F59" s="35"/>
      <c r="G59" s="35"/>
    </row>
    <row r="60" spans="2:7" ht="18" customHeight="1" x14ac:dyDescent="0.3">
      <c r="B60" s="35"/>
      <c r="C60" s="35"/>
      <c r="F60" s="35"/>
      <c r="G60" s="35"/>
    </row>
    <row r="61" spans="2:7" ht="18" customHeight="1" x14ac:dyDescent="0.3">
      <c r="B61" s="35"/>
      <c r="C61" s="35"/>
      <c r="F61" s="35"/>
      <c r="G61" s="35"/>
    </row>
    <row r="62" spans="2:7" ht="18" customHeight="1" x14ac:dyDescent="0.3">
      <c r="B62" s="35"/>
      <c r="C62" s="35"/>
      <c r="F62" s="35"/>
      <c r="G62" s="35"/>
    </row>
    <row r="63" spans="2:7" ht="18" customHeight="1" x14ac:dyDescent="0.3">
      <c r="B63" s="35"/>
      <c r="C63" s="35"/>
      <c r="F63" s="35"/>
      <c r="G63" s="35"/>
    </row>
    <row r="64" spans="2:7" ht="18" customHeight="1" x14ac:dyDescent="0.3">
      <c r="B64" s="35"/>
      <c r="C64" s="35"/>
      <c r="F64" s="35"/>
      <c r="G64" s="35"/>
    </row>
    <row r="65" spans="2:7" ht="18" customHeight="1" x14ac:dyDescent="0.3">
      <c r="B65" s="35"/>
      <c r="C65" s="35"/>
      <c r="F65" s="35"/>
      <c r="G65" s="35"/>
    </row>
    <row r="66" spans="2:7" ht="18" customHeight="1" x14ac:dyDescent="0.3">
      <c r="B66" s="35"/>
      <c r="C66" s="35"/>
      <c r="F66" s="35"/>
      <c r="G66" s="35"/>
    </row>
    <row r="67" spans="2:7" ht="18" customHeight="1" x14ac:dyDescent="0.3">
      <c r="B67" s="35"/>
      <c r="C67" s="35"/>
      <c r="F67" s="35"/>
      <c r="G67" s="35"/>
    </row>
    <row r="68" spans="2:7" ht="18" customHeight="1" x14ac:dyDescent="0.3">
      <c r="B68" s="35"/>
      <c r="C68" s="35"/>
      <c r="F68" s="35"/>
      <c r="G68" s="35"/>
    </row>
    <row r="69" spans="2:7" ht="18" customHeight="1" x14ac:dyDescent="0.3">
      <c r="B69" s="35"/>
      <c r="C69" s="35"/>
      <c r="F69" s="35"/>
      <c r="G69" s="35"/>
    </row>
    <row r="70" spans="2:7" ht="18" customHeight="1" x14ac:dyDescent="0.3">
      <c r="B70" s="35"/>
      <c r="C70" s="35"/>
      <c r="F70" s="35"/>
      <c r="G70" s="35"/>
    </row>
    <row r="71" spans="2:7" ht="18" customHeight="1" x14ac:dyDescent="0.3">
      <c r="B71" s="35"/>
      <c r="C71" s="35"/>
      <c r="F71" s="35"/>
      <c r="G71" s="35"/>
    </row>
    <row r="72" spans="2:7" ht="18" customHeight="1" x14ac:dyDescent="0.3">
      <c r="B72" s="35"/>
      <c r="C72" s="35"/>
      <c r="F72" s="35"/>
      <c r="G72" s="35"/>
    </row>
    <row r="73" spans="2:7" ht="18" customHeight="1" x14ac:dyDescent="0.3">
      <c r="B73" s="35"/>
      <c r="C73" s="35"/>
      <c r="F73" s="35"/>
      <c r="G73" s="35"/>
    </row>
    <row r="74" spans="2:7" ht="18" customHeight="1" x14ac:dyDescent="0.3">
      <c r="B74" s="35"/>
      <c r="C74" s="35"/>
      <c r="F74" s="35"/>
      <c r="G74" s="35"/>
    </row>
    <row r="75" spans="2:7" ht="18" customHeight="1" x14ac:dyDescent="0.3">
      <c r="B75" s="35"/>
      <c r="C75" s="35"/>
      <c r="F75" s="35"/>
      <c r="G75" s="35"/>
    </row>
    <row r="76" spans="2:7" ht="18" customHeight="1" x14ac:dyDescent="0.3">
      <c r="B76" s="35"/>
      <c r="C76" s="35"/>
      <c r="F76" s="35"/>
      <c r="G76" s="35"/>
    </row>
    <row r="77" spans="2:7" ht="18" customHeight="1" x14ac:dyDescent="0.3">
      <c r="B77" s="35"/>
      <c r="C77" s="35"/>
      <c r="F77" s="35"/>
      <c r="G77" s="35"/>
    </row>
    <row r="78" spans="2:7" ht="18" customHeight="1" x14ac:dyDescent="0.3">
      <c r="B78" s="35"/>
      <c r="C78" s="35"/>
      <c r="F78" s="35"/>
      <c r="G78" s="35"/>
    </row>
    <row r="79" spans="2:7" ht="18" customHeight="1" x14ac:dyDescent="0.3">
      <c r="B79" s="35"/>
      <c r="C79" s="35"/>
      <c r="F79" s="35"/>
      <c r="G79" s="35"/>
    </row>
    <row r="80" spans="2:7" ht="18" customHeight="1" x14ac:dyDescent="0.3">
      <c r="B80" s="35"/>
      <c r="C80" s="35"/>
      <c r="F80" s="35"/>
      <c r="G80" s="35"/>
    </row>
    <row r="81" spans="2:7" ht="18" customHeight="1" x14ac:dyDescent="0.3">
      <c r="B81" s="35"/>
      <c r="C81" s="35"/>
      <c r="F81" s="35"/>
      <c r="G81" s="35"/>
    </row>
    <row r="82" spans="2:7" ht="18" customHeight="1" x14ac:dyDescent="0.3">
      <c r="B82" s="35"/>
      <c r="C82" s="35"/>
      <c r="F82" s="35"/>
      <c r="G82" s="35"/>
    </row>
    <row r="83" spans="2:7" ht="18" customHeight="1" x14ac:dyDescent="0.3">
      <c r="B83" s="35"/>
      <c r="C83" s="35"/>
      <c r="F83" s="35"/>
      <c r="G83" s="35"/>
    </row>
    <row r="84" spans="2:7" ht="18" customHeight="1" x14ac:dyDescent="0.3">
      <c r="B84" s="35"/>
      <c r="C84" s="35"/>
      <c r="F84" s="35"/>
      <c r="G84" s="35"/>
    </row>
    <row r="85" spans="2:7" ht="18" customHeight="1" x14ac:dyDescent="0.3">
      <c r="B85" s="35"/>
      <c r="C85" s="35"/>
      <c r="F85" s="35"/>
      <c r="G85" s="35"/>
    </row>
    <row r="86" spans="2:7" ht="18" customHeight="1" x14ac:dyDescent="0.3">
      <c r="B86" s="35"/>
      <c r="C86" s="35"/>
      <c r="F86" s="35"/>
      <c r="G86" s="35"/>
    </row>
    <row r="87" spans="2:7" ht="18" customHeight="1" x14ac:dyDescent="0.3">
      <c r="B87" s="35"/>
      <c r="C87" s="35"/>
      <c r="F87" s="35"/>
      <c r="G87" s="35"/>
    </row>
    <row r="88" spans="2:7" ht="18" customHeight="1" x14ac:dyDescent="0.3">
      <c r="B88" s="35"/>
      <c r="C88" s="35"/>
      <c r="F88" s="35"/>
      <c r="G88" s="35"/>
    </row>
    <row r="89" spans="2:7" ht="18" customHeight="1" x14ac:dyDescent="0.3">
      <c r="B89" s="35"/>
      <c r="C89" s="35"/>
      <c r="F89" s="35"/>
      <c r="G89" s="35"/>
    </row>
    <row r="90" spans="2:7" ht="18" customHeight="1" x14ac:dyDescent="0.3">
      <c r="B90" s="35"/>
      <c r="C90" s="35"/>
      <c r="F90" s="35"/>
      <c r="G90" s="35"/>
    </row>
    <row r="91" spans="2:7" ht="18" customHeight="1" x14ac:dyDescent="0.3">
      <c r="B91" s="35"/>
      <c r="C91" s="35"/>
      <c r="F91" s="35"/>
      <c r="G91" s="35"/>
    </row>
    <row r="92" spans="2:7" ht="18" customHeight="1" x14ac:dyDescent="0.3">
      <c r="B92" s="35"/>
      <c r="C92" s="35"/>
      <c r="F92" s="35"/>
      <c r="G92" s="35"/>
    </row>
    <row r="93" spans="2:7" ht="18" customHeight="1" x14ac:dyDescent="0.3">
      <c r="B93" s="35"/>
      <c r="C93" s="35"/>
      <c r="F93" s="35"/>
      <c r="G93" s="35"/>
    </row>
    <row r="94" spans="2:7" ht="18" customHeight="1" x14ac:dyDescent="0.3">
      <c r="B94" s="35"/>
      <c r="C94" s="35"/>
      <c r="F94" s="35"/>
      <c r="G94" s="35"/>
    </row>
    <row r="95" spans="2:7" ht="18" customHeight="1" x14ac:dyDescent="0.3">
      <c r="B95" s="35"/>
      <c r="C95" s="35"/>
      <c r="F95" s="35"/>
      <c r="G95" s="35"/>
    </row>
    <row r="96" spans="2:7" ht="18" customHeight="1" x14ac:dyDescent="0.3">
      <c r="B96" s="35"/>
      <c r="C96" s="35"/>
      <c r="F96" s="35"/>
      <c r="G96" s="35"/>
    </row>
    <row r="97" spans="2:7" ht="18" customHeight="1" x14ac:dyDescent="0.3">
      <c r="B97" s="35"/>
      <c r="C97" s="35"/>
      <c r="F97" s="35"/>
      <c r="G97" s="35"/>
    </row>
    <row r="98" spans="2:7" ht="18" customHeight="1" x14ac:dyDescent="0.3">
      <c r="B98" s="35"/>
      <c r="C98" s="35"/>
      <c r="F98" s="35"/>
      <c r="G98" s="35"/>
    </row>
    <row r="99" spans="2:7" x14ac:dyDescent="0.3">
      <c r="B99" s="35"/>
      <c r="C99" s="35"/>
      <c r="F99" s="35"/>
      <c r="G99" s="35"/>
    </row>
    <row r="100" spans="2:7" x14ac:dyDescent="0.3">
      <c r="B100" s="35"/>
      <c r="C100" s="35"/>
      <c r="F100" s="35"/>
      <c r="G100" s="35"/>
    </row>
    <row r="101" spans="2:7" x14ac:dyDescent="0.3">
      <c r="B101" s="35"/>
      <c r="C101" s="35"/>
      <c r="F101" s="35"/>
      <c r="G101" s="35"/>
    </row>
    <row r="102" spans="2:7" x14ac:dyDescent="0.3">
      <c r="B102" s="35"/>
      <c r="C102" s="35"/>
      <c r="F102" s="35"/>
      <c r="G102" s="35"/>
    </row>
    <row r="103" spans="2:7" x14ac:dyDescent="0.3">
      <c r="B103" s="35"/>
      <c r="C103" s="35"/>
      <c r="F103" s="35"/>
      <c r="G103" s="35"/>
    </row>
    <row r="104" spans="2:7" x14ac:dyDescent="0.3">
      <c r="B104" s="35"/>
      <c r="C104" s="35"/>
      <c r="F104" s="35"/>
      <c r="G104" s="35"/>
    </row>
    <row r="105" spans="2:7" x14ac:dyDescent="0.3">
      <c r="B105" s="35"/>
      <c r="C105" s="35"/>
      <c r="F105" s="35"/>
      <c r="G105" s="35"/>
    </row>
    <row r="106" spans="2:7" x14ac:dyDescent="0.3">
      <c r="B106" s="35"/>
      <c r="C106" s="35"/>
      <c r="F106" s="35"/>
      <c r="G106" s="35"/>
    </row>
    <row r="107" spans="2:7" x14ac:dyDescent="0.3">
      <c r="B107" s="35"/>
      <c r="C107" s="35"/>
      <c r="F107" s="35"/>
      <c r="G107" s="35"/>
    </row>
    <row r="108" spans="2:7" x14ac:dyDescent="0.3">
      <c r="B108" s="35"/>
      <c r="C108" s="35"/>
      <c r="F108" s="35"/>
      <c r="G108" s="35"/>
    </row>
    <row r="109" spans="2:7" x14ac:dyDescent="0.3">
      <c r="B109" s="35"/>
      <c r="C109" s="35"/>
      <c r="F109" s="35"/>
      <c r="G109" s="35"/>
    </row>
    <row r="110" spans="2:7" x14ac:dyDescent="0.3">
      <c r="B110" s="35"/>
      <c r="C110" s="35"/>
      <c r="F110" s="35"/>
      <c r="G110" s="35"/>
    </row>
    <row r="111" spans="2:7" x14ac:dyDescent="0.3">
      <c r="B111" s="35"/>
      <c r="C111" s="35"/>
      <c r="F111" s="35"/>
      <c r="G111" s="35"/>
    </row>
    <row r="112" spans="2:7" x14ac:dyDescent="0.3">
      <c r="B112" s="35"/>
      <c r="C112" s="35"/>
      <c r="F112" s="35"/>
      <c r="G112" s="35"/>
    </row>
    <row r="113" spans="2:9" x14ac:dyDescent="0.3">
      <c r="B113" s="35"/>
      <c r="C113" s="35"/>
      <c r="F113" s="35"/>
      <c r="G113" s="35"/>
    </row>
    <row r="114" spans="2:9" x14ac:dyDescent="0.3">
      <c r="B114" s="35"/>
      <c r="C114" s="35"/>
      <c r="F114" s="35"/>
      <c r="G114" s="35"/>
    </row>
    <row r="115" spans="2:9" x14ac:dyDescent="0.3">
      <c r="B115" s="35"/>
      <c r="C115" s="35"/>
      <c r="F115" s="35"/>
      <c r="G115" s="35"/>
    </row>
    <row r="116" spans="2:9" x14ac:dyDescent="0.3">
      <c r="B116" s="35"/>
      <c r="C116" s="35"/>
      <c r="F116" s="35"/>
      <c r="G116" s="35"/>
    </row>
    <row r="117" spans="2:9" x14ac:dyDescent="0.3">
      <c r="B117" s="35"/>
      <c r="C117" s="35"/>
      <c r="F117" s="35"/>
      <c r="G117" s="35"/>
    </row>
    <row r="118" spans="2:9" x14ac:dyDescent="0.3">
      <c r="B118" s="35"/>
      <c r="C118" s="35"/>
      <c r="F118" s="35"/>
      <c r="G118" s="35"/>
    </row>
    <row r="119" spans="2:9" x14ac:dyDescent="0.3">
      <c r="B119" s="35"/>
      <c r="C119" s="35"/>
      <c r="F119" s="35"/>
      <c r="G119" s="35"/>
    </row>
    <row r="120" spans="2:9" x14ac:dyDescent="0.3">
      <c r="B120" s="35"/>
      <c r="C120" s="35"/>
      <c r="F120" s="35"/>
      <c r="G120" s="35"/>
    </row>
    <row r="121" spans="2:9" x14ac:dyDescent="0.3">
      <c r="B121" s="35"/>
      <c r="C121" s="35"/>
      <c r="F121" s="35"/>
      <c r="G121" s="35"/>
    </row>
    <row r="122" spans="2:9" x14ac:dyDescent="0.3">
      <c r="B122" s="35"/>
      <c r="C122" s="35"/>
      <c r="D122" s="35"/>
      <c r="E122" s="35"/>
      <c r="F122" s="35"/>
      <c r="G122" s="35"/>
      <c r="H122" s="35"/>
      <c r="I122" s="35"/>
    </row>
    <row r="123" spans="2:9" x14ac:dyDescent="0.3">
      <c r="B123" s="35"/>
      <c r="C123" s="35"/>
      <c r="D123" s="35"/>
      <c r="E123" s="35"/>
      <c r="F123" s="35"/>
      <c r="G123" s="35"/>
      <c r="H123" s="35"/>
      <c r="I123" s="35"/>
    </row>
    <row r="124" spans="2:9" x14ac:dyDescent="0.3">
      <c r="B124" s="35"/>
      <c r="C124" s="35"/>
      <c r="D124" s="35"/>
      <c r="E124" s="35"/>
      <c r="F124" s="35"/>
      <c r="G124" s="35"/>
      <c r="H124" s="35"/>
      <c r="I124" s="35"/>
    </row>
    <row r="125" spans="2:9" x14ac:dyDescent="0.3">
      <c r="B125" s="35"/>
      <c r="C125" s="35"/>
      <c r="D125" s="35"/>
      <c r="E125" s="35"/>
      <c r="F125" s="35"/>
      <c r="G125" s="35"/>
      <c r="H125" s="35"/>
      <c r="I125" s="35"/>
    </row>
    <row r="126" spans="2:9" x14ac:dyDescent="0.3">
      <c r="B126" s="35"/>
      <c r="C126" s="35"/>
      <c r="D126" s="35"/>
      <c r="E126" s="35"/>
      <c r="F126" s="35"/>
      <c r="G126" s="35"/>
      <c r="H126" s="35"/>
      <c r="I126" s="35"/>
    </row>
    <row r="127" spans="2:9" x14ac:dyDescent="0.3">
      <c r="B127" s="35"/>
      <c r="C127" s="35"/>
      <c r="D127" s="35"/>
      <c r="E127" s="35"/>
      <c r="F127" s="35"/>
      <c r="G127" s="35"/>
      <c r="H127" s="35"/>
      <c r="I127" s="35"/>
    </row>
    <row r="128" spans="2:9" x14ac:dyDescent="0.3">
      <c r="B128" s="35"/>
      <c r="C128" s="35"/>
      <c r="D128" s="35"/>
      <c r="E128" s="35"/>
      <c r="F128" s="35"/>
      <c r="G128" s="35"/>
      <c r="H128" s="35"/>
      <c r="I128" s="35"/>
    </row>
    <row r="129" spans="2:9" x14ac:dyDescent="0.3">
      <c r="B129" s="35"/>
      <c r="C129" s="35"/>
      <c r="D129" s="35"/>
      <c r="E129" s="35"/>
      <c r="F129" s="35"/>
      <c r="G129" s="35"/>
      <c r="H129" s="35"/>
      <c r="I129" s="35"/>
    </row>
    <row r="130" spans="2:9" x14ac:dyDescent="0.3">
      <c r="B130" s="35"/>
      <c r="C130" s="35"/>
      <c r="D130" s="35"/>
      <c r="E130" s="35"/>
      <c r="F130" s="35"/>
      <c r="G130" s="35"/>
      <c r="H130" s="35"/>
      <c r="I130" s="35"/>
    </row>
    <row r="131" spans="2:9" x14ac:dyDescent="0.3">
      <c r="B131" s="35"/>
      <c r="C131" s="35"/>
      <c r="D131" s="35"/>
      <c r="E131" s="35"/>
      <c r="F131" s="35"/>
      <c r="G131" s="35"/>
      <c r="H131" s="35"/>
      <c r="I131" s="35"/>
    </row>
    <row r="132" spans="2:9" x14ac:dyDescent="0.3">
      <c r="B132" s="35"/>
      <c r="C132" s="35"/>
      <c r="D132" s="35"/>
      <c r="E132" s="35"/>
      <c r="F132" s="35"/>
      <c r="G132" s="35"/>
      <c r="H132" s="35"/>
      <c r="I132" s="35"/>
    </row>
    <row r="133" spans="2:9" x14ac:dyDescent="0.3">
      <c r="B133" s="35"/>
      <c r="C133" s="35"/>
      <c r="D133" s="35"/>
      <c r="E133" s="35"/>
      <c r="F133" s="35"/>
      <c r="G133" s="35"/>
      <c r="H133" s="35"/>
      <c r="I133" s="35"/>
    </row>
    <row r="134" spans="2:9" x14ac:dyDescent="0.3">
      <c r="B134" s="35"/>
      <c r="C134" s="35"/>
      <c r="D134" s="35"/>
      <c r="E134" s="35"/>
      <c r="F134" s="35"/>
      <c r="G134" s="35"/>
      <c r="H134" s="35"/>
      <c r="I134" s="35"/>
    </row>
    <row r="135" spans="2:9" x14ac:dyDescent="0.3">
      <c r="B135" s="35"/>
      <c r="C135" s="35"/>
      <c r="D135" s="35"/>
      <c r="E135" s="35"/>
      <c r="F135" s="35"/>
      <c r="G135" s="35"/>
      <c r="H135" s="35"/>
      <c r="I135" s="35"/>
    </row>
    <row r="136" spans="2:9" x14ac:dyDescent="0.3">
      <c r="B136" s="35"/>
      <c r="C136" s="35"/>
      <c r="D136" s="35"/>
      <c r="E136" s="35"/>
      <c r="F136" s="35"/>
      <c r="G136" s="35"/>
      <c r="H136" s="35"/>
      <c r="I136" s="35"/>
    </row>
    <row r="137" spans="2:9" x14ac:dyDescent="0.3">
      <c r="B137" s="35"/>
      <c r="C137" s="35"/>
      <c r="D137" s="35"/>
      <c r="E137" s="35"/>
      <c r="F137" s="35"/>
      <c r="G137" s="35"/>
      <c r="H137" s="35"/>
      <c r="I137" s="35"/>
    </row>
    <row r="138" spans="2:9" x14ac:dyDescent="0.3">
      <c r="B138" s="35"/>
      <c r="C138" s="35"/>
      <c r="D138" s="35"/>
      <c r="E138" s="35"/>
      <c r="F138" s="35"/>
      <c r="G138" s="35"/>
      <c r="H138" s="35"/>
      <c r="I138" s="35"/>
    </row>
    <row r="139" spans="2:9" x14ac:dyDescent="0.3">
      <c r="B139" s="35"/>
      <c r="C139" s="35"/>
      <c r="D139" s="35"/>
      <c r="E139" s="35"/>
      <c r="F139" s="35"/>
      <c r="G139" s="35"/>
      <c r="H139" s="35"/>
      <c r="I139" s="35"/>
    </row>
    <row r="140" spans="2:9" x14ac:dyDescent="0.3">
      <c r="B140" s="35"/>
      <c r="C140" s="35"/>
      <c r="D140" s="35"/>
      <c r="E140" s="35"/>
      <c r="F140" s="35"/>
      <c r="G140" s="35"/>
      <c r="H140" s="35"/>
      <c r="I140" s="35"/>
    </row>
    <row r="141" spans="2:9" x14ac:dyDescent="0.3">
      <c r="B141" s="35"/>
      <c r="C141" s="35"/>
      <c r="D141" s="35"/>
      <c r="E141" s="35"/>
      <c r="F141" s="35"/>
      <c r="G141" s="35"/>
      <c r="H141" s="35"/>
      <c r="I141" s="35"/>
    </row>
    <row r="142" spans="2:9" x14ac:dyDescent="0.3">
      <c r="B142" s="35"/>
      <c r="C142" s="35"/>
      <c r="D142" s="35"/>
      <c r="E142" s="35"/>
      <c r="F142" s="35"/>
      <c r="G142" s="35"/>
      <c r="H142" s="35"/>
      <c r="I142" s="35"/>
    </row>
    <row r="143" spans="2:9" x14ac:dyDescent="0.3">
      <c r="B143" s="35"/>
      <c r="C143" s="35"/>
      <c r="D143" s="35"/>
      <c r="E143" s="35"/>
      <c r="F143" s="35"/>
      <c r="G143" s="35"/>
      <c r="H143" s="35"/>
      <c r="I143" s="35"/>
    </row>
    <row r="144" spans="2:9" x14ac:dyDescent="0.3">
      <c r="B144" s="35"/>
      <c r="C144" s="35"/>
      <c r="D144" s="35"/>
      <c r="E144" s="35"/>
      <c r="F144" s="35"/>
      <c r="G144" s="35"/>
      <c r="H144" s="35"/>
      <c r="I144" s="35"/>
    </row>
    <row r="145" spans="2:9" x14ac:dyDescent="0.3">
      <c r="B145" s="35"/>
      <c r="C145" s="35"/>
      <c r="D145" s="35"/>
      <c r="E145" s="35"/>
      <c r="F145" s="35"/>
      <c r="G145" s="35"/>
      <c r="H145" s="35"/>
      <c r="I145" s="35"/>
    </row>
    <row r="146" spans="2:9" x14ac:dyDescent="0.3">
      <c r="B146" s="35"/>
      <c r="C146" s="35"/>
      <c r="D146" s="35"/>
      <c r="E146" s="35"/>
      <c r="F146" s="35"/>
      <c r="G146" s="35"/>
      <c r="H146" s="35"/>
      <c r="I146" s="35"/>
    </row>
    <row r="147" spans="2:9" x14ac:dyDescent="0.3">
      <c r="B147" s="35"/>
      <c r="C147" s="35"/>
      <c r="D147" s="35"/>
      <c r="E147" s="35"/>
      <c r="F147" s="35"/>
      <c r="G147" s="35"/>
      <c r="H147" s="35"/>
      <c r="I147" s="35"/>
    </row>
    <row r="148" spans="2:9" x14ac:dyDescent="0.3">
      <c r="B148" s="35"/>
      <c r="C148" s="35"/>
      <c r="D148" s="35"/>
      <c r="E148" s="35"/>
      <c r="F148" s="35"/>
      <c r="G148" s="35"/>
      <c r="H148" s="35"/>
      <c r="I148" s="35"/>
    </row>
    <row r="149" spans="2:9" x14ac:dyDescent="0.3">
      <c r="B149" s="35"/>
      <c r="C149" s="35"/>
      <c r="D149" s="35"/>
      <c r="E149" s="35"/>
      <c r="F149" s="35"/>
      <c r="G149" s="35"/>
      <c r="H149" s="35"/>
      <c r="I149" s="35"/>
    </row>
    <row r="150" spans="2:9" x14ac:dyDescent="0.3">
      <c r="B150" s="35"/>
      <c r="C150" s="35"/>
      <c r="D150" s="35"/>
      <c r="E150" s="35"/>
      <c r="F150" s="35"/>
      <c r="G150" s="35"/>
      <c r="H150" s="35"/>
      <c r="I150" s="35"/>
    </row>
    <row r="151" spans="2:9" x14ac:dyDescent="0.3">
      <c r="B151" s="35"/>
      <c r="C151" s="35"/>
      <c r="D151" s="35"/>
      <c r="E151" s="35"/>
      <c r="F151" s="35"/>
      <c r="G151" s="35"/>
      <c r="H151" s="35"/>
      <c r="I151" s="35"/>
    </row>
    <row r="152" spans="2:9" x14ac:dyDescent="0.3">
      <c r="B152" s="35"/>
      <c r="C152" s="35"/>
      <c r="D152" s="35"/>
      <c r="E152" s="35"/>
      <c r="F152" s="35"/>
      <c r="G152" s="35"/>
      <c r="H152" s="35"/>
      <c r="I152" s="35"/>
    </row>
    <row r="153" spans="2:9" x14ac:dyDescent="0.3">
      <c r="B153" s="35"/>
      <c r="C153" s="35"/>
      <c r="D153" s="35"/>
      <c r="E153" s="35"/>
      <c r="F153" s="35"/>
      <c r="G153" s="35"/>
      <c r="H153" s="35"/>
      <c r="I153" s="35"/>
    </row>
    <row r="154" spans="2:9" x14ac:dyDescent="0.3">
      <c r="B154" s="35"/>
      <c r="C154" s="35"/>
      <c r="D154" s="35"/>
      <c r="E154" s="35"/>
      <c r="F154" s="35"/>
      <c r="G154" s="35"/>
      <c r="H154" s="35"/>
      <c r="I154" s="35"/>
    </row>
    <row r="155" spans="2:9" x14ac:dyDescent="0.3">
      <c r="B155" s="35"/>
      <c r="C155" s="35"/>
      <c r="D155" s="35"/>
      <c r="E155" s="35"/>
      <c r="F155" s="35"/>
      <c r="G155" s="35"/>
      <c r="H155" s="35"/>
      <c r="I155" s="35"/>
    </row>
    <row r="156" spans="2:9" x14ac:dyDescent="0.3">
      <c r="B156" s="35"/>
      <c r="C156" s="35"/>
      <c r="D156" s="35"/>
      <c r="E156" s="35"/>
      <c r="F156" s="35"/>
      <c r="G156" s="35"/>
      <c r="H156" s="35"/>
      <c r="I156" s="35"/>
    </row>
    <row r="157" spans="2:9" x14ac:dyDescent="0.3">
      <c r="B157" s="35"/>
      <c r="C157" s="35"/>
      <c r="D157" s="35"/>
      <c r="E157" s="35"/>
      <c r="F157" s="35"/>
      <c r="G157" s="35"/>
      <c r="H157" s="35"/>
      <c r="I157" s="35"/>
    </row>
    <row r="158" spans="2:9" x14ac:dyDescent="0.3">
      <c r="B158" s="35"/>
      <c r="C158" s="35"/>
      <c r="D158" s="35"/>
      <c r="E158" s="35"/>
      <c r="F158" s="35"/>
      <c r="G158" s="35"/>
      <c r="H158" s="35"/>
      <c r="I158" s="35"/>
    </row>
    <row r="159" spans="2:9" x14ac:dyDescent="0.3">
      <c r="B159" s="35"/>
      <c r="C159" s="35"/>
      <c r="D159" s="35"/>
      <c r="E159" s="35"/>
      <c r="F159" s="35"/>
      <c r="G159" s="35"/>
      <c r="H159" s="35"/>
      <c r="I159" s="35"/>
    </row>
    <row r="160" spans="2:9" x14ac:dyDescent="0.3">
      <c r="B160" s="35"/>
      <c r="C160" s="35"/>
      <c r="D160" s="35"/>
      <c r="E160" s="35"/>
      <c r="F160" s="35"/>
      <c r="G160" s="35"/>
      <c r="H160" s="35"/>
      <c r="I160" s="35"/>
    </row>
    <row r="161" spans="2:9" x14ac:dyDescent="0.3">
      <c r="B161" s="35"/>
      <c r="C161" s="35"/>
      <c r="D161" s="35"/>
      <c r="E161" s="35"/>
      <c r="F161" s="35"/>
      <c r="G161" s="35"/>
      <c r="H161" s="35"/>
      <c r="I161" s="35"/>
    </row>
    <row r="162" spans="2:9" x14ac:dyDescent="0.3">
      <c r="B162" s="35"/>
      <c r="C162" s="35"/>
      <c r="D162" s="35"/>
      <c r="E162" s="35"/>
      <c r="F162" s="35"/>
      <c r="G162" s="35"/>
      <c r="H162" s="35"/>
      <c r="I162" s="35"/>
    </row>
    <row r="163" spans="2:9" x14ac:dyDescent="0.3">
      <c r="B163" s="35"/>
      <c r="C163" s="35"/>
      <c r="D163" s="35"/>
      <c r="E163" s="35"/>
      <c r="F163" s="35"/>
      <c r="G163" s="35"/>
      <c r="H163" s="35"/>
      <c r="I163" s="35"/>
    </row>
    <row r="164" spans="2:9" x14ac:dyDescent="0.3">
      <c r="B164" s="35"/>
      <c r="C164" s="35"/>
      <c r="D164" s="35"/>
      <c r="E164" s="35"/>
      <c r="F164" s="35"/>
      <c r="G164" s="35"/>
      <c r="H164" s="35"/>
      <c r="I164" s="35"/>
    </row>
    <row r="165" spans="2:9" x14ac:dyDescent="0.3">
      <c r="B165" s="35"/>
      <c r="C165" s="35"/>
      <c r="D165" s="35"/>
      <c r="E165" s="35"/>
      <c r="F165" s="35"/>
      <c r="G165" s="35"/>
      <c r="H165" s="35"/>
      <c r="I165" s="35"/>
    </row>
    <row r="166" spans="2:9" x14ac:dyDescent="0.3">
      <c r="B166" s="35"/>
      <c r="C166" s="35"/>
      <c r="D166" s="35"/>
      <c r="E166" s="35"/>
      <c r="F166" s="35"/>
      <c r="G166" s="35"/>
      <c r="H166" s="35"/>
      <c r="I166" s="35"/>
    </row>
    <row r="167" spans="2:9" x14ac:dyDescent="0.3">
      <c r="B167" s="35"/>
      <c r="C167" s="35"/>
      <c r="D167" s="35"/>
      <c r="E167" s="35"/>
      <c r="F167" s="35"/>
      <c r="G167" s="35"/>
      <c r="H167" s="35"/>
      <c r="I167" s="35"/>
    </row>
    <row r="168" spans="2:9" x14ac:dyDescent="0.3">
      <c r="B168" s="35"/>
      <c r="C168" s="35"/>
      <c r="D168" s="35"/>
      <c r="E168" s="35"/>
      <c r="F168" s="35"/>
      <c r="G168" s="35"/>
      <c r="H168" s="35"/>
      <c r="I168" s="35"/>
    </row>
    <row r="169" spans="2:9" x14ac:dyDescent="0.3">
      <c r="B169" s="35"/>
      <c r="C169" s="35"/>
      <c r="D169" s="35"/>
      <c r="E169" s="35"/>
      <c r="F169" s="35"/>
      <c r="G169" s="35"/>
      <c r="H169" s="35"/>
      <c r="I169" s="35"/>
    </row>
    <row r="170" spans="2:9" x14ac:dyDescent="0.3">
      <c r="B170" s="35"/>
      <c r="C170" s="35"/>
      <c r="D170" s="35"/>
      <c r="E170" s="35"/>
      <c r="F170" s="35"/>
      <c r="G170" s="35"/>
      <c r="H170" s="35"/>
      <c r="I170" s="35"/>
    </row>
    <row r="171" spans="2:9" x14ac:dyDescent="0.3">
      <c r="B171" s="35"/>
      <c r="C171" s="35"/>
      <c r="D171" s="35"/>
      <c r="E171" s="35"/>
      <c r="F171" s="35"/>
      <c r="G171" s="35"/>
      <c r="H171" s="35"/>
      <c r="I171" s="35"/>
    </row>
    <row r="172" spans="2:9" x14ac:dyDescent="0.3">
      <c r="B172" s="35"/>
      <c r="C172" s="35"/>
      <c r="D172" s="35"/>
      <c r="E172" s="35"/>
      <c r="F172" s="35"/>
      <c r="G172" s="35"/>
      <c r="H172" s="35"/>
      <c r="I172" s="35"/>
    </row>
    <row r="173" spans="2:9" x14ac:dyDescent="0.3">
      <c r="B173" s="35"/>
      <c r="C173" s="35"/>
      <c r="D173" s="35"/>
      <c r="E173" s="35"/>
      <c r="F173" s="35"/>
      <c r="G173" s="35"/>
      <c r="H173" s="35"/>
      <c r="I173" s="35"/>
    </row>
    <row r="174" spans="2:9" x14ac:dyDescent="0.3">
      <c r="B174" s="35"/>
      <c r="C174" s="35"/>
      <c r="D174" s="35"/>
      <c r="E174" s="35"/>
      <c r="F174" s="35"/>
      <c r="G174" s="35"/>
      <c r="H174" s="35"/>
      <c r="I174" s="35"/>
    </row>
    <row r="175" spans="2:9" x14ac:dyDescent="0.3">
      <c r="B175" s="35"/>
      <c r="C175" s="35"/>
      <c r="D175" s="35"/>
      <c r="E175" s="35"/>
      <c r="F175" s="35"/>
      <c r="G175" s="35"/>
      <c r="H175" s="35"/>
      <c r="I175" s="35"/>
    </row>
    <row r="176" spans="2:9" x14ac:dyDescent="0.3">
      <c r="B176" s="35"/>
      <c r="C176" s="35"/>
      <c r="D176" s="35"/>
      <c r="E176" s="35"/>
      <c r="F176" s="35"/>
      <c r="G176" s="35"/>
      <c r="H176" s="35"/>
      <c r="I176" s="35"/>
    </row>
    <row r="177" spans="2:9" x14ac:dyDescent="0.3">
      <c r="B177" s="35"/>
      <c r="C177" s="35"/>
      <c r="D177" s="35"/>
      <c r="E177" s="35"/>
      <c r="F177" s="35"/>
      <c r="G177" s="35"/>
      <c r="H177" s="35"/>
      <c r="I177" s="35"/>
    </row>
    <row r="178" spans="2:9" x14ac:dyDescent="0.3">
      <c r="B178" s="35"/>
      <c r="C178" s="35"/>
      <c r="D178" s="35"/>
      <c r="E178" s="35"/>
      <c r="F178" s="35"/>
      <c r="G178" s="35"/>
      <c r="H178" s="35"/>
      <c r="I178" s="35"/>
    </row>
    <row r="179" spans="2:9" x14ac:dyDescent="0.3">
      <c r="B179" s="35"/>
      <c r="C179" s="35"/>
      <c r="D179" s="35"/>
      <c r="E179" s="35"/>
      <c r="F179" s="35"/>
      <c r="G179" s="35"/>
      <c r="H179" s="35"/>
      <c r="I179" s="35"/>
    </row>
    <row r="180" spans="2:9" x14ac:dyDescent="0.3">
      <c r="B180" s="35"/>
      <c r="C180" s="35"/>
      <c r="D180" s="35"/>
      <c r="E180" s="35"/>
      <c r="F180" s="35"/>
      <c r="G180" s="35"/>
      <c r="H180" s="35"/>
      <c r="I180" s="35"/>
    </row>
    <row r="181" spans="2:9" x14ac:dyDescent="0.3">
      <c r="B181" s="35"/>
      <c r="C181" s="35"/>
      <c r="D181" s="35"/>
      <c r="E181" s="35"/>
      <c r="F181" s="35"/>
      <c r="G181" s="35"/>
      <c r="H181" s="35"/>
      <c r="I181" s="35"/>
    </row>
    <row r="182" spans="2:9" x14ac:dyDescent="0.3">
      <c r="B182" s="35"/>
      <c r="C182" s="35"/>
      <c r="D182" s="35"/>
      <c r="E182" s="35"/>
      <c r="F182" s="35"/>
      <c r="G182" s="35"/>
      <c r="H182" s="35"/>
      <c r="I182" s="35"/>
    </row>
    <row r="183" spans="2:9" x14ac:dyDescent="0.3">
      <c r="B183" s="35"/>
      <c r="C183" s="35"/>
      <c r="D183" s="35"/>
      <c r="E183" s="35"/>
      <c r="F183" s="35"/>
      <c r="G183" s="35"/>
      <c r="H183" s="35"/>
      <c r="I183" s="35"/>
    </row>
    <row r="184" spans="2:9" x14ac:dyDescent="0.3">
      <c r="B184" s="35"/>
      <c r="C184" s="35"/>
      <c r="D184" s="35"/>
      <c r="E184" s="35"/>
      <c r="F184" s="35"/>
      <c r="G184" s="35"/>
      <c r="H184" s="35"/>
      <c r="I184" s="35"/>
    </row>
    <row r="185" spans="2:9" x14ac:dyDescent="0.3">
      <c r="B185" s="35"/>
      <c r="C185" s="35"/>
      <c r="D185" s="35"/>
      <c r="E185" s="35"/>
      <c r="F185" s="35"/>
      <c r="G185" s="35"/>
      <c r="H185" s="35"/>
      <c r="I185" s="35"/>
    </row>
    <row r="186" spans="2:9" x14ac:dyDescent="0.3">
      <c r="B186" s="35"/>
      <c r="C186" s="35"/>
      <c r="D186" s="35"/>
      <c r="E186" s="35"/>
      <c r="F186" s="35"/>
      <c r="G186" s="35"/>
      <c r="H186" s="35"/>
      <c r="I186" s="35"/>
    </row>
    <row r="187" spans="2:9" x14ac:dyDescent="0.3">
      <c r="B187" s="35"/>
      <c r="C187" s="35"/>
      <c r="D187" s="35"/>
      <c r="E187" s="35"/>
      <c r="F187" s="35"/>
      <c r="G187" s="35"/>
      <c r="H187" s="35"/>
      <c r="I187" s="35"/>
    </row>
    <row r="188" spans="2:9" x14ac:dyDescent="0.3">
      <c r="B188" s="35"/>
      <c r="C188" s="35"/>
      <c r="D188" s="35"/>
      <c r="E188" s="35"/>
      <c r="F188" s="35"/>
      <c r="G188" s="35"/>
      <c r="H188" s="35"/>
      <c r="I188" s="35"/>
    </row>
    <row r="189" spans="2:9" x14ac:dyDescent="0.3">
      <c r="B189" s="35"/>
      <c r="C189" s="35"/>
      <c r="D189" s="35"/>
      <c r="E189" s="35"/>
      <c r="F189" s="35"/>
      <c r="G189" s="35"/>
      <c r="H189" s="35"/>
      <c r="I189" s="35"/>
    </row>
    <row r="190" spans="2:9" x14ac:dyDescent="0.3">
      <c r="B190" s="35"/>
      <c r="C190" s="35"/>
      <c r="D190" s="35"/>
      <c r="E190" s="35"/>
      <c r="F190" s="35"/>
      <c r="G190" s="35"/>
      <c r="H190" s="35"/>
      <c r="I190" s="35"/>
    </row>
    <row r="191" spans="2:9" x14ac:dyDescent="0.3">
      <c r="B191" s="35"/>
      <c r="C191" s="35"/>
      <c r="D191" s="35"/>
      <c r="E191" s="35"/>
      <c r="F191" s="35"/>
      <c r="G191" s="35"/>
      <c r="H191" s="35"/>
      <c r="I191" s="35"/>
    </row>
    <row r="192" spans="2:9" x14ac:dyDescent="0.3">
      <c r="B192" s="35"/>
      <c r="C192" s="35"/>
      <c r="D192" s="35"/>
      <c r="E192" s="35"/>
      <c r="F192" s="35"/>
      <c r="G192" s="35"/>
      <c r="H192" s="35"/>
      <c r="I192" s="35"/>
    </row>
    <row r="193" spans="2:9" x14ac:dyDescent="0.3">
      <c r="B193" s="35"/>
      <c r="C193" s="35"/>
      <c r="D193" s="35"/>
      <c r="E193" s="35"/>
      <c r="F193" s="35"/>
      <c r="G193" s="35"/>
      <c r="H193" s="35"/>
      <c r="I193" s="35"/>
    </row>
    <row r="194" spans="2:9" x14ac:dyDescent="0.3">
      <c r="B194" s="35"/>
      <c r="C194" s="35"/>
      <c r="D194" s="35"/>
      <c r="E194" s="35"/>
      <c r="F194" s="35"/>
      <c r="G194" s="35"/>
      <c r="H194" s="35"/>
      <c r="I194" s="35"/>
    </row>
    <row r="195" spans="2:9" x14ac:dyDescent="0.3">
      <c r="B195" s="35"/>
      <c r="C195" s="35"/>
      <c r="D195" s="35"/>
      <c r="E195" s="35"/>
      <c r="F195" s="35"/>
      <c r="G195" s="35"/>
      <c r="H195" s="35"/>
      <c r="I195" s="35"/>
    </row>
    <row r="196" spans="2:9" x14ac:dyDescent="0.3">
      <c r="B196" s="35"/>
      <c r="C196" s="35"/>
      <c r="D196" s="35"/>
      <c r="E196" s="35"/>
      <c r="F196" s="35"/>
      <c r="G196" s="35"/>
      <c r="H196" s="35"/>
      <c r="I196" s="35"/>
    </row>
    <row r="197" spans="2:9" x14ac:dyDescent="0.3">
      <c r="B197" s="35"/>
      <c r="C197" s="35"/>
      <c r="D197" s="35"/>
      <c r="E197" s="35"/>
      <c r="F197" s="35"/>
      <c r="G197" s="35"/>
      <c r="H197" s="35"/>
      <c r="I197" s="35"/>
    </row>
    <row r="198" spans="2:9" x14ac:dyDescent="0.3">
      <c r="B198" s="35"/>
      <c r="C198" s="35"/>
      <c r="D198" s="35"/>
      <c r="E198" s="35"/>
      <c r="F198" s="35"/>
      <c r="G198" s="35"/>
      <c r="H198" s="35"/>
      <c r="I198" s="35"/>
    </row>
    <row r="199" spans="2:9" x14ac:dyDescent="0.3">
      <c r="B199" s="35"/>
      <c r="C199" s="35"/>
      <c r="D199" s="35"/>
      <c r="E199" s="35"/>
      <c r="F199" s="35"/>
      <c r="G199" s="35"/>
      <c r="H199" s="35"/>
      <c r="I199" s="35"/>
    </row>
    <row r="200" spans="2:9" x14ac:dyDescent="0.3">
      <c r="B200" s="35"/>
      <c r="C200" s="35"/>
      <c r="D200" s="35"/>
      <c r="E200" s="35"/>
      <c r="F200" s="35"/>
      <c r="G200" s="35"/>
      <c r="H200" s="35"/>
      <c r="I200" s="35"/>
    </row>
    <row r="201" spans="2:9" x14ac:dyDescent="0.3">
      <c r="B201" s="35"/>
      <c r="C201" s="35"/>
      <c r="D201" s="35"/>
      <c r="E201" s="35"/>
      <c r="F201" s="35"/>
      <c r="G201" s="35"/>
      <c r="H201" s="35"/>
      <c r="I201" s="35"/>
    </row>
    <row r="202" spans="2:9" x14ac:dyDescent="0.3">
      <c r="B202" s="35"/>
      <c r="C202" s="35"/>
      <c r="D202" s="35"/>
      <c r="E202" s="35"/>
      <c r="F202" s="35"/>
      <c r="G202" s="35"/>
      <c r="H202" s="35"/>
      <c r="I202" s="35"/>
    </row>
    <row r="203" spans="2:9" x14ac:dyDescent="0.3">
      <c r="B203" s="35"/>
      <c r="C203" s="35"/>
      <c r="D203" s="35"/>
      <c r="E203" s="35"/>
      <c r="F203" s="35"/>
      <c r="G203" s="35"/>
      <c r="H203" s="35"/>
      <c r="I203" s="35"/>
    </row>
    <row r="204" spans="2:9" x14ac:dyDescent="0.3">
      <c r="B204" s="35"/>
      <c r="C204" s="35"/>
      <c r="D204" s="35"/>
      <c r="E204" s="35"/>
      <c r="F204" s="35"/>
      <c r="G204" s="35"/>
      <c r="H204" s="35"/>
      <c r="I204" s="35"/>
    </row>
    <row r="205" spans="2:9" x14ac:dyDescent="0.3">
      <c r="B205" s="35"/>
      <c r="C205" s="35"/>
      <c r="D205" s="35"/>
      <c r="E205" s="35"/>
      <c r="F205" s="35"/>
      <c r="G205" s="35"/>
      <c r="H205" s="35"/>
      <c r="I205" s="35"/>
    </row>
    <row r="206" spans="2:9" x14ac:dyDescent="0.3">
      <c r="B206" s="35"/>
      <c r="C206" s="35"/>
      <c r="D206" s="35"/>
      <c r="E206" s="35"/>
      <c r="F206" s="35"/>
      <c r="G206" s="35"/>
      <c r="H206" s="35"/>
      <c r="I206" s="35"/>
    </row>
    <row r="207" spans="2:9" x14ac:dyDescent="0.3">
      <c r="B207" s="35"/>
      <c r="C207" s="35"/>
      <c r="D207" s="35"/>
      <c r="E207" s="35"/>
      <c r="F207" s="35"/>
      <c r="G207" s="35"/>
      <c r="H207" s="35"/>
      <c r="I207" s="35"/>
    </row>
    <row r="208" spans="2:9" x14ac:dyDescent="0.3">
      <c r="B208" s="35"/>
      <c r="C208" s="35"/>
      <c r="D208" s="35"/>
      <c r="E208" s="35"/>
      <c r="F208" s="35"/>
      <c r="G208" s="35"/>
      <c r="H208" s="35"/>
      <c r="I208" s="35"/>
    </row>
    <row r="209" spans="2:9" x14ac:dyDescent="0.3">
      <c r="B209" s="35"/>
      <c r="C209" s="35"/>
      <c r="D209" s="35"/>
      <c r="E209" s="35"/>
      <c r="F209" s="35"/>
      <c r="G209" s="35"/>
      <c r="H209" s="35"/>
      <c r="I209" s="35"/>
    </row>
    <row r="210" spans="2:9" x14ac:dyDescent="0.3">
      <c r="B210" s="35"/>
      <c r="C210" s="35"/>
      <c r="D210" s="35"/>
      <c r="E210" s="35"/>
      <c r="F210" s="35"/>
      <c r="G210" s="35"/>
      <c r="H210" s="35"/>
      <c r="I210" s="35"/>
    </row>
    <row r="211" spans="2:9" x14ac:dyDescent="0.3">
      <c r="B211" s="35"/>
      <c r="C211" s="35"/>
      <c r="D211" s="35"/>
      <c r="E211" s="35"/>
      <c r="F211" s="35"/>
      <c r="G211" s="35"/>
      <c r="H211" s="35"/>
      <c r="I211" s="35"/>
    </row>
    <row r="212" spans="2:9" x14ac:dyDescent="0.3">
      <c r="B212" s="35"/>
      <c r="C212" s="35"/>
      <c r="D212" s="35"/>
      <c r="E212" s="35"/>
      <c r="F212" s="35"/>
      <c r="G212" s="35"/>
      <c r="H212" s="35"/>
      <c r="I212" s="35"/>
    </row>
    <row r="213" spans="2:9" x14ac:dyDescent="0.3">
      <c r="B213" s="35"/>
      <c r="C213" s="35"/>
      <c r="D213" s="35"/>
      <c r="E213" s="35"/>
      <c r="F213" s="35"/>
      <c r="G213" s="35"/>
      <c r="H213" s="35"/>
      <c r="I213" s="35"/>
    </row>
    <row r="214" spans="2:9" x14ac:dyDescent="0.3">
      <c r="B214" s="35"/>
      <c r="C214" s="35"/>
      <c r="D214" s="35"/>
      <c r="E214" s="35"/>
      <c r="F214" s="35"/>
      <c r="G214" s="35"/>
      <c r="H214" s="35"/>
      <c r="I214" s="35"/>
    </row>
    <row r="215" spans="2:9" x14ac:dyDescent="0.3">
      <c r="B215" s="35"/>
      <c r="C215" s="35"/>
      <c r="D215" s="35"/>
      <c r="E215" s="35"/>
      <c r="F215" s="35"/>
      <c r="G215" s="35"/>
      <c r="H215" s="35"/>
      <c r="I215" s="35"/>
    </row>
    <row r="216" spans="2:9" x14ac:dyDescent="0.3">
      <c r="B216" s="35"/>
      <c r="C216" s="35"/>
      <c r="D216" s="35"/>
      <c r="E216" s="35"/>
      <c r="F216" s="35"/>
      <c r="G216" s="35"/>
      <c r="H216" s="35"/>
      <c r="I216" s="35"/>
    </row>
    <row r="217" spans="2:9" x14ac:dyDescent="0.3">
      <c r="B217" s="35"/>
      <c r="C217" s="35"/>
      <c r="D217" s="35"/>
      <c r="E217" s="35"/>
      <c r="F217" s="35"/>
      <c r="G217" s="35"/>
      <c r="H217" s="35"/>
      <c r="I217" s="35"/>
    </row>
    <row r="218" spans="2:9" x14ac:dyDescent="0.3">
      <c r="B218" s="35"/>
      <c r="C218" s="35"/>
      <c r="D218" s="35"/>
      <c r="E218" s="35"/>
      <c r="F218" s="35"/>
      <c r="G218" s="35"/>
      <c r="H218" s="35"/>
      <c r="I218" s="35"/>
    </row>
    <row r="219" spans="2:9" x14ac:dyDescent="0.3">
      <c r="B219" s="35"/>
      <c r="C219" s="35"/>
      <c r="D219" s="35"/>
      <c r="E219" s="35"/>
      <c r="F219" s="35"/>
      <c r="G219" s="35"/>
      <c r="H219" s="35"/>
      <c r="I219" s="35"/>
    </row>
    <row r="220" spans="2:9" x14ac:dyDescent="0.3">
      <c r="B220" s="35"/>
      <c r="C220" s="35"/>
      <c r="D220" s="35"/>
      <c r="E220" s="35"/>
      <c r="F220" s="35"/>
      <c r="G220" s="35"/>
      <c r="H220" s="35"/>
      <c r="I220" s="35"/>
    </row>
    <row r="221" spans="2:9" x14ac:dyDescent="0.3">
      <c r="B221" s="35"/>
      <c r="C221" s="35"/>
      <c r="D221" s="35"/>
      <c r="E221" s="35"/>
      <c r="F221" s="35"/>
      <c r="G221" s="35"/>
      <c r="H221" s="35"/>
      <c r="I221" s="35"/>
    </row>
    <row r="222" spans="2:9" x14ac:dyDescent="0.3">
      <c r="B222" s="35"/>
      <c r="C222" s="35"/>
      <c r="D222" s="35"/>
      <c r="E222" s="35"/>
      <c r="F222" s="35"/>
      <c r="G222" s="35"/>
      <c r="H222" s="35"/>
      <c r="I222" s="35"/>
    </row>
    <row r="223" spans="2:9" x14ac:dyDescent="0.3">
      <c r="B223" s="35"/>
      <c r="C223" s="35"/>
      <c r="D223" s="35"/>
      <c r="E223" s="35"/>
      <c r="F223" s="35"/>
      <c r="G223" s="35"/>
      <c r="H223" s="35"/>
      <c r="I223" s="35"/>
    </row>
  </sheetData>
  <conditionalFormatting sqref="A33:J223">
    <cfRule type="expression" dxfId="50" priority="2">
      <formula>$J33="Critical"</formula>
    </cfRule>
    <cfRule type="expression" dxfId="49" priority="3">
      <formula>$J33="Medium"</formula>
    </cfRule>
    <cfRule type="expression" dxfId="48" priority="4">
      <formula>$J33="Low"</formula>
    </cfRule>
    <cfRule type="expression" dxfId="47" priority="5">
      <formula>$H33="Failed"</formula>
    </cfRule>
    <cfRule type="expression" dxfId="46" priority="6">
      <formula>$H33="Degraded"</formula>
    </cfRule>
  </conditionalFormatting>
  <dataValidations count="4">
    <dataValidation type="list" allowBlank="1" sqref="D33:E121" xr:uid="{00000000-0002-0000-0300-000000000000}">
      <formula1>"Yes,No"</formula1>
      <formula2>0</formula2>
    </dataValidation>
    <dataValidation type="list" allowBlank="1" sqref="H33:H121" xr:uid="{00000000-0002-0000-0300-000001000000}">
      <formula1>"Healthy,Degraded,Failed"</formula1>
      <formula2>0</formula2>
    </dataValidation>
    <dataValidation type="list" allowBlank="1" sqref="I33:I121" xr:uid="{00000000-0002-0000-0300-000002000000}">
      <formula1>"Oracle,MySQL,MS SQL Server,PostgreSQL"</formula1>
      <formula2>0</formula2>
    </dataValidation>
    <dataValidation type="list" allowBlank="1" promptTitle="Severity" prompt="Rate the severity of the Last Error, if any" sqref="J33:J223" xr:uid="{00000000-0002-0000-0300-000003000000}">
      <formula1>"Low,Medium,Critical"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02"/>
  <sheetViews>
    <sheetView showGridLines="0" topLeftCell="A5" zoomScaleNormal="100" workbookViewId="0">
      <selection activeCell="E9" sqref="E9"/>
    </sheetView>
  </sheetViews>
  <sheetFormatPr defaultColWidth="8.6640625" defaultRowHeight="14.4" x14ac:dyDescent="0.3"/>
  <cols>
    <col min="1" max="1" width="13.6640625" bestFit="1" customWidth="1"/>
    <col min="2" max="2" width="12.6640625" bestFit="1" customWidth="1"/>
    <col min="3" max="3" width="13.77734375" bestFit="1" customWidth="1"/>
    <col min="4" max="4" width="29.21875" bestFit="1" customWidth="1"/>
    <col min="5" max="5" width="14" bestFit="1" customWidth="1"/>
    <col min="6" max="6" width="35.5546875" bestFit="1" customWidth="1"/>
    <col min="7" max="8" width="13.6640625" bestFit="1" customWidth="1"/>
    <col min="9" max="9" width="14.88671875" style="3" bestFit="1" customWidth="1"/>
    <col min="10" max="10" width="11" style="3" bestFit="1" customWidth="1"/>
    <col min="11" max="11" width="60.77734375" bestFit="1" customWidth="1"/>
    <col min="12" max="12" width="9.77734375" bestFit="1" customWidth="1"/>
    <col min="13" max="13" width="15.6640625" bestFit="1" customWidth="1"/>
    <col min="14" max="14" width="14.109375" bestFit="1" customWidth="1"/>
    <col min="15" max="15" width="11.33203125" bestFit="1" customWidth="1"/>
    <col min="16" max="16" width="12.33203125" bestFit="1" customWidth="1"/>
    <col min="17" max="17" width="11.5546875" customWidth="1"/>
    <col min="18" max="18" width="12.109375" customWidth="1"/>
    <col min="19" max="20" width="14.6640625" customWidth="1"/>
    <col min="21" max="21" width="15.33203125" customWidth="1"/>
  </cols>
  <sheetData>
    <row r="1" spans="1:16" x14ac:dyDescent="0.3">
      <c r="A1" t="s">
        <v>150</v>
      </c>
      <c r="B1" t="s">
        <v>7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64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</row>
    <row r="2" spans="1:16" s="38" customFormat="1" x14ac:dyDescent="0.3">
      <c r="A2" s="38" t="s">
        <v>81</v>
      </c>
      <c r="B2" s="38" t="s">
        <v>12</v>
      </c>
      <c r="C2" s="39">
        <v>46204</v>
      </c>
      <c r="D2" s="38" t="s">
        <v>82</v>
      </c>
      <c r="E2" s="38" t="s">
        <v>83</v>
      </c>
      <c r="F2" s="38" t="s">
        <v>84</v>
      </c>
      <c r="G2" s="39">
        <v>0.87432870370370375</v>
      </c>
      <c r="H2" s="39">
        <v>0.875</v>
      </c>
      <c r="I2" s="38">
        <v>1.61E-2</v>
      </c>
      <c r="J2" s="38" t="s">
        <v>3</v>
      </c>
      <c r="K2" s="38" t="s">
        <v>85</v>
      </c>
      <c r="L2" s="38" t="s">
        <v>80</v>
      </c>
      <c r="M2" s="38" t="s">
        <v>70</v>
      </c>
      <c r="N2" s="38" t="s">
        <v>80</v>
      </c>
      <c r="O2" s="38" t="s">
        <v>164</v>
      </c>
      <c r="P2" s="38" t="s">
        <v>164</v>
      </c>
    </row>
    <row r="3" spans="1:16" s="40" customFormat="1" x14ac:dyDescent="0.3">
      <c r="A3" s="62" t="s">
        <v>81</v>
      </c>
      <c r="B3" s="62" t="s">
        <v>12</v>
      </c>
      <c r="C3" s="63">
        <v>46205</v>
      </c>
      <c r="D3" s="62" t="s">
        <v>82</v>
      </c>
      <c r="E3" s="62" t="s">
        <v>83</v>
      </c>
      <c r="F3" s="62" t="s">
        <v>86</v>
      </c>
      <c r="G3" s="63">
        <v>0.8743171296296296</v>
      </c>
      <c r="H3" s="63">
        <v>0.87452546296296296</v>
      </c>
      <c r="I3" s="62">
        <v>5.0000000000000001E-3</v>
      </c>
      <c r="J3" s="62" t="s">
        <v>3</v>
      </c>
      <c r="K3" s="62" t="s">
        <v>87</v>
      </c>
      <c r="L3" s="62" t="s">
        <v>80</v>
      </c>
      <c r="M3" s="62" t="s">
        <v>70</v>
      </c>
      <c r="N3" s="62" t="s">
        <v>80</v>
      </c>
      <c r="O3" s="62" t="s">
        <v>164</v>
      </c>
      <c r="P3" s="62" t="s">
        <v>164</v>
      </c>
    </row>
    <row r="4" spans="1:16" x14ac:dyDescent="0.3">
      <c r="A4" t="s">
        <v>81</v>
      </c>
      <c r="B4" t="s">
        <v>12</v>
      </c>
      <c r="C4" s="39">
        <v>46207</v>
      </c>
      <c r="D4" t="s">
        <v>82</v>
      </c>
      <c r="E4" t="s">
        <v>88</v>
      </c>
      <c r="F4" t="s">
        <v>89</v>
      </c>
      <c r="G4" s="39">
        <v>0.8743171296296296</v>
      </c>
      <c r="H4" s="39">
        <v>0.89037037037037037</v>
      </c>
      <c r="I4">
        <v>0.38529999999999998</v>
      </c>
      <c r="J4" t="s">
        <v>3</v>
      </c>
      <c r="K4" t="s">
        <v>90</v>
      </c>
      <c r="L4" t="s">
        <v>80</v>
      </c>
      <c r="M4" t="s">
        <v>70</v>
      </c>
      <c r="N4" t="s">
        <v>80</v>
      </c>
      <c r="O4" t="s">
        <v>164</v>
      </c>
      <c r="P4" t="s">
        <v>164</v>
      </c>
    </row>
    <row r="5" spans="1:16" x14ac:dyDescent="0.3">
      <c r="A5" t="s">
        <v>81</v>
      </c>
      <c r="B5" t="s">
        <v>12</v>
      </c>
      <c r="C5" s="39">
        <v>46208</v>
      </c>
      <c r="D5" t="s">
        <v>82</v>
      </c>
      <c r="E5" t="s">
        <v>83</v>
      </c>
      <c r="F5" t="s">
        <v>91</v>
      </c>
      <c r="G5" s="39">
        <v>0.8743171296296296</v>
      </c>
      <c r="H5" s="39">
        <v>0.87451388888888892</v>
      </c>
      <c r="I5">
        <v>4.7000000000000002E-3</v>
      </c>
      <c r="J5" t="s">
        <v>3</v>
      </c>
      <c r="K5" t="s">
        <v>92</v>
      </c>
      <c r="L5" t="s">
        <v>80</v>
      </c>
      <c r="M5" t="s">
        <v>70</v>
      </c>
      <c r="N5" t="s">
        <v>80</v>
      </c>
      <c r="O5" t="s">
        <v>164</v>
      </c>
      <c r="P5" t="s">
        <v>164</v>
      </c>
    </row>
    <row r="6" spans="1:16" x14ac:dyDescent="0.3">
      <c r="A6" t="s">
        <v>81</v>
      </c>
      <c r="B6" t="s">
        <v>12</v>
      </c>
      <c r="C6" s="39">
        <v>46209</v>
      </c>
      <c r="D6" t="s">
        <v>82</v>
      </c>
      <c r="E6" t="s">
        <v>83</v>
      </c>
      <c r="F6" t="s">
        <v>93</v>
      </c>
      <c r="G6" s="39">
        <v>0.8743171296296296</v>
      </c>
      <c r="H6" s="39">
        <v>0.87462962962962965</v>
      </c>
      <c r="I6">
        <v>7.4999999999999997E-3</v>
      </c>
      <c r="J6" t="s">
        <v>3</v>
      </c>
      <c r="K6" t="s">
        <v>94</v>
      </c>
      <c r="L6" t="s">
        <v>80</v>
      </c>
      <c r="M6" t="s">
        <v>70</v>
      </c>
      <c r="N6" t="s">
        <v>80</v>
      </c>
      <c r="O6" t="s">
        <v>164</v>
      </c>
      <c r="P6" t="s">
        <v>164</v>
      </c>
    </row>
    <row r="7" spans="1:16" x14ac:dyDescent="0.3">
      <c r="A7" t="s">
        <v>81</v>
      </c>
      <c r="B7" t="s">
        <v>12</v>
      </c>
      <c r="C7" s="39">
        <v>46210</v>
      </c>
      <c r="D7" t="s">
        <v>82</v>
      </c>
      <c r="E7" t="s">
        <v>83</v>
      </c>
      <c r="F7" t="s">
        <v>95</v>
      </c>
      <c r="G7" s="39">
        <v>0.87432870370370375</v>
      </c>
      <c r="H7" s="39">
        <v>0.87510416666666668</v>
      </c>
      <c r="I7">
        <v>1.8599999999999998E-2</v>
      </c>
      <c r="J7" t="s">
        <v>3</v>
      </c>
      <c r="K7" t="s">
        <v>96</v>
      </c>
      <c r="L7" t="s">
        <v>80</v>
      </c>
      <c r="M7" t="s">
        <v>70</v>
      </c>
      <c r="N7" t="s">
        <v>80</v>
      </c>
      <c r="O7" t="s">
        <v>164</v>
      </c>
      <c r="P7" t="s">
        <v>164</v>
      </c>
    </row>
    <row r="8" spans="1:16" x14ac:dyDescent="0.3">
      <c r="A8" t="s">
        <v>81</v>
      </c>
      <c r="B8" t="s">
        <v>12</v>
      </c>
      <c r="C8" s="39">
        <v>46211</v>
      </c>
      <c r="D8" t="s">
        <v>82</v>
      </c>
      <c r="E8" t="s">
        <v>83</v>
      </c>
      <c r="F8" t="s">
        <v>97</v>
      </c>
      <c r="G8" s="39">
        <v>0.87432870370370375</v>
      </c>
      <c r="H8" s="39">
        <v>0.87994212962962959</v>
      </c>
      <c r="I8">
        <v>0.13469999999999999</v>
      </c>
      <c r="J8" t="s">
        <v>3</v>
      </c>
      <c r="K8" t="s">
        <v>98</v>
      </c>
      <c r="L8" t="s">
        <v>80</v>
      </c>
      <c r="M8" t="s">
        <v>70</v>
      </c>
      <c r="N8" t="s">
        <v>80</v>
      </c>
      <c r="O8" t="s">
        <v>164</v>
      </c>
      <c r="P8" t="s">
        <v>164</v>
      </c>
    </row>
    <row r="9" spans="1:16" x14ac:dyDescent="0.3">
      <c r="A9" t="s">
        <v>81</v>
      </c>
      <c r="B9" t="s">
        <v>12</v>
      </c>
      <c r="C9" s="39">
        <v>46212</v>
      </c>
      <c r="D9" t="s">
        <v>82</v>
      </c>
      <c r="E9" t="s">
        <v>83</v>
      </c>
      <c r="F9" t="s">
        <v>99</v>
      </c>
      <c r="G9" s="39">
        <v>0.8743171296296296</v>
      </c>
      <c r="H9" s="39">
        <v>0.87471064814814814</v>
      </c>
      <c r="I9">
        <v>9.4000000000000004E-3</v>
      </c>
      <c r="J9" t="s">
        <v>3</v>
      </c>
      <c r="K9" t="s">
        <v>100</v>
      </c>
      <c r="L9" t="s">
        <v>80</v>
      </c>
      <c r="M9" t="s">
        <v>70</v>
      </c>
      <c r="N9" t="s">
        <v>80</v>
      </c>
      <c r="O9" t="s">
        <v>164</v>
      </c>
      <c r="P9" t="s">
        <v>164</v>
      </c>
    </row>
    <row r="10" spans="1:16" x14ac:dyDescent="0.3">
      <c r="A10" t="s">
        <v>81</v>
      </c>
      <c r="B10" t="s">
        <v>12</v>
      </c>
      <c r="C10" s="39">
        <v>46213</v>
      </c>
      <c r="D10" t="s">
        <v>82</v>
      </c>
      <c r="E10" t="s">
        <v>83</v>
      </c>
      <c r="F10" t="s">
        <v>101</v>
      </c>
      <c r="G10" s="39">
        <v>0.8743171296296296</v>
      </c>
      <c r="H10" s="39">
        <v>0.87450231481481477</v>
      </c>
      <c r="I10">
        <v>4.4000000000000003E-3</v>
      </c>
      <c r="J10" t="s">
        <v>3</v>
      </c>
      <c r="K10" t="s">
        <v>102</v>
      </c>
      <c r="L10" t="s">
        <v>80</v>
      </c>
      <c r="M10" t="s">
        <v>70</v>
      </c>
      <c r="N10" t="s">
        <v>80</v>
      </c>
      <c r="O10" t="s">
        <v>164</v>
      </c>
      <c r="P10" t="s">
        <v>164</v>
      </c>
    </row>
    <row r="11" spans="1:16" x14ac:dyDescent="0.3">
      <c r="A11" t="s">
        <v>81</v>
      </c>
      <c r="B11" t="s">
        <v>12</v>
      </c>
      <c r="C11" s="39">
        <v>46214</v>
      </c>
      <c r="D11" t="s">
        <v>82</v>
      </c>
      <c r="E11" t="s">
        <v>88</v>
      </c>
      <c r="F11" t="s">
        <v>103</v>
      </c>
      <c r="G11" s="39">
        <v>0.8743171296296296</v>
      </c>
      <c r="H11" s="39">
        <v>0.89388888888888884</v>
      </c>
      <c r="I11">
        <v>0.46970000000000001</v>
      </c>
      <c r="J11" t="s">
        <v>3</v>
      </c>
      <c r="K11" t="s">
        <v>104</v>
      </c>
      <c r="L11" t="s">
        <v>80</v>
      </c>
      <c r="M11" t="s">
        <v>70</v>
      </c>
      <c r="N11" t="s">
        <v>80</v>
      </c>
      <c r="O11" t="s">
        <v>164</v>
      </c>
      <c r="P11" t="s">
        <v>164</v>
      </c>
    </row>
    <row r="12" spans="1:16" x14ac:dyDescent="0.3">
      <c r="A12" t="s">
        <v>81</v>
      </c>
      <c r="B12" t="s">
        <v>12</v>
      </c>
      <c r="C12" s="39">
        <v>46215</v>
      </c>
      <c r="D12" t="s">
        <v>82</v>
      </c>
      <c r="E12" t="s">
        <v>83</v>
      </c>
      <c r="F12" t="s">
        <v>105</v>
      </c>
      <c r="G12" s="39">
        <v>0.8743171296296296</v>
      </c>
      <c r="H12" s="39">
        <v>0.87451388888888892</v>
      </c>
      <c r="I12">
        <v>4.7000000000000002E-3</v>
      </c>
      <c r="J12" t="s">
        <v>3</v>
      </c>
      <c r="K12" t="s">
        <v>106</v>
      </c>
      <c r="L12" t="s">
        <v>80</v>
      </c>
      <c r="M12" t="s">
        <v>70</v>
      </c>
      <c r="N12" t="s">
        <v>80</v>
      </c>
      <c r="O12" t="s">
        <v>164</v>
      </c>
      <c r="P12" t="s">
        <v>164</v>
      </c>
    </row>
    <row r="13" spans="1:16" x14ac:dyDescent="0.3">
      <c r="A13" t="s">
        <v>81</v>
      </c>
      <c r="B13" t="s">
        <v>12</v>
      </c>
      <c r="C13" s="39">
        <v>46216</v>
      </c>
      <c r="D13" t="s">
        <v>82</v>
      </c>
      <c r="E13" t="s">
        <v>83</v>
      </c>
      <c r="F13" t="s">
        <v>107</v>
      </c>
      <c r="G13" s="39">
        <v>0.8743171296296296</v>
      </c>
      <c r="H13" s="39">
        <v>0.87452546296296296</v>
      </c>
      <c r="I13">
        <v>5.0000000000000001E-3</v>
      </c>
      <c r="J13" t="s">
        <v>3</v>
      </c>
      <c r="K13" t="s">
        <v>108</v>
      </c>
      <c r="L13" t="s">
        <v>80</v>
      </c>
      <c r="M13" t="s">
        <v>70</v>
      </c>
      <c r="N13" t="s">
        <v>80</v>
      </c>
      <c r="O13" t="s">
        <v>164</v>
      </c>
      <c r="P13" t="s">
        <v>164</v>
      </c>
    </row>
    <row r="14" spans="1:16" x14ac:dyDescent="0.3">
      <c r="A14" t="s">
        <v>81</v>
      </c>
      <c r="B14" t="s">
        <v>12</v>
      </c>
      <c r="C14" s="39">
        <v>46217</v>
      </c>
      <c r="D14" t="s">
        <v>82</v>
      </c>
      <c r="E14" t="s">
        <v>83</v>
      </c>
      <c r="F14" t="s">
        <v>109</v>
      </c>
      <c r="G14" s="39">
        <v>0.8743171296296296</v>
      </c>
      <c r="H14" s="39">
        <v>0.87457175925925923</v>
      </c>
      <c r="I14">
        <v>6.1000000000000004E-3</v>
      </c>
      <c r="J14" t="s">
        <v>3</v>
      </c>
      <c r="K14" t="s">
        <v>110</v>
      </c>
      <c r="L14" t="s">
        <v>80</v>
      </c>
      <c r="M14" t="s">
        <v>70</v>
      </c>
      <c r="N14" t="s">
        <v>80</v>
      </c>
      <c r="O14" t="s">
        <v>164</v>
      </c>
      <c r="P14" t="s">
        <v>164</v>
      </c>
    </row>
    <row r="15" spans="1:16" x14ac:dyDescent="0.3">
      <c r="A15" t="s">
        <v>81</v>
      </c>
      <c r="B15" t="s">
        <v>12</v>
      </c>
      <c r="C15" s="39">
        <v>46218</v>
      </c>
      <c r="D15" t="s">
        <v>82</v>
      </c>
      <c r="E15" t="s">
        <v>83</v>
      </c>
      <c r="F15" t="s">
        <v>111</v>
      </c>
      <c r="G15" s="39">
        <v>0.8743171296296296</v>
      </c>
      <c r="H15" s="39">
        <v>0.87473379629629633</v>
      </c>
      <c r="I15">
        <v>0.01</v>
      </c>
      <c r="J15" t="s">
        <v>3</v>
      </c>
      <c r="K15" t="s">
        <v>112</v>
      </c>
      <c r="L15" t="s">
        <v>80</v>
      </c>
      <c r="M15" t="s">
        <v>70</v>
      </c>
      <c r="N15" t="s">
        <v>80</v>
      </c>
      <c r="O15" t="s">
        <v>164</v>
      </c>
      <c r="P15" t="s">
        <v>164</v>
      </c>
    </row>
    <row r="16" spans="1:16" x14ac:dyDescent="0.3">
      <c r="A16" t="s">
        <v>81</v>
      </c>
      <c r="B16" t="s">
        <v>12</v>
      </c>
      <c r="C16" s="39">
        <v>46219</v>
      </c>
      <c r="D16" t="s">
        <v>82</v>
      </c>
      <c r="E16" t="s">
        <v>83</v>
      </c>
      <c r="F16" t="s">
        <v>113</v>
      </c>
      <c r="G16" s="39">
        <v>0.8743171296296296</v>
      </c>
      <c r="H16" s="39">
        <v>0.87468749999999995</v>
      </c>
      <c r="I16">
        <v>8.8999999999999999E-3</v>
      </c>
      <c r="J16" t="s">
        <v>3</v>
      </c>
      <c r="K16" t="s">
        <v>114</v>
      </c>
      <c r="L16" t="s">
        <v>80</v>
      </c>
      <c r="M16" t="s">
        <v>70</v>
      </c>
      <c r="N16" t="s">
        <v>80</v>
      </c>
      <c r="O16" t="s">
        <v>164</v>
      </c>
      <c r="P16" t="s">
        <v>164</v>
      </c>
    </row>
    <row r="17" spans="1:16" x14ac:dyDescent="0.3">
      <c r="A17" t="s">
        <v>81</v>
      </c>
      <c r="B17" t="s">
        <v>12</v>
      </c>
      <c r="C17" s="39">
        <v>46220</v>
      </c>
      <c r="D17" t="s">
        <v>82</v>
      </c>
      <c r="E17" t="s">
        <v>83</v>
      </c>
      <c r="F17" t="s">
        <v>115</v>
      </c>
      <c r="G17" s="39">
        <v>0.8743171296296296</v>
      </c>
      <c r="H17" s="39">
        <v>0.87472222222222218</v>
      </c>
      <c r="I17">
        <v>9.7000000000000003E-3</v>
      </c>
      <c r="J17" t="s">
        <v>3</v>
      </c>
      <c r="K17" t="s">
        <v>116</v>
      </c>
      <c r="L17" t="s">
        <v>80</v>
      </c>
      <c r="M17" t="s">
        <v>70</v>
      </c>
      <c r="N17" t="s">
        <v>80</v>
      </c>
      <c r="O17" t="s">
        <v>164</v>
      </c>
      <c r="P17" t="s">
        <v>164</v>
      </c>
    </row>
    <row r="18" spans="1:16" x14ac:dyDescent="0.3">
      <c r="A18" t="s">
        <v>81</v>
      </c>
      <c r="B18" t="s">
        <v>12</v>
      </c>
      <c r="C18" s="39">
        <v>46221</v>
      </c>
      <c r="D18" t="s">
        <v>82</v>
      </c>
      <c r="E18" t="s">
        <v>88</v>
      </c>
      <c r="F18" t="s">
        <v>117</v>
      </c>
      <c r="G18" s="39">
        <v>0.8743171296296296</v>
      </c>
      <c r="H18" s="39">
        <v>0.89115740740740745</v>
      </c>
      <c r="I18">
        <v>0.4042</v>
      </c>
      <c r="J18" t="s">
        <v>3</v>
      </c>
      <c r="K18" t="s">
        <v>118</v>
      </c>
      <c r="L18" t="s">
        <v>80</v>
      </c>
      <c r="M18" t="s">
        <v>70</v>
      </c>
      <c r="N18" t="s">
        <v>80</v>
      </c>
      <c r="O18" t="s">
        <v>164</v>
      </c>
      <c r="P18" t="s">
        <v>164</v>
      </c>
    </row>
    <row r="19" spans="1:16" x14ac:dyDescent="0.3">
      <c r="A19" t="s">
        <v>81</v>
      </c>
      <c r="B19" t="s">
        <v>12</v>
      </c>
      <c r="C19" s="39">
        <v>46223</v>
      </c>
      <c r="D19" t="s">
        <v>82</v>
      </c>
      <c r="E19" t="s">
        <v>83</v>
      </c>
      <c r="F19" t="s">
        <v>119</v>
      </c>
      <c r="G19" s="39">
        <v>0.23395833333333332</v>
      </c>
      <c r="H19" s="39">
        <v>0.23412037037037037</v>
      </c>
      <c r="I19">
        <v>3.8999999999999998E-3</v>
      </c>
      <c r="J19" t="s">
        <v>3</v>
      </c>
      <c r="K19" t="s">
        <v>120</v>
      </c>
      <c r="L19" t="s">
        <v>80</v>
      </c>
      <c r="M19" t="s">
        <v>70</v>
      </c>
      <c r="N19" t="s">
        <v>80</v>
      </c>
      <c r="O19" t="s">
        <v>164</v>
      </c>
      <c r="P19" t="s">
        <v>164</v>
      </c>
    </row>
    <row r="20" spans="1:16" x14ac:dyDescent="0.3">
      <c r="A20" t="s">
        <v>81</v>
      </c>
      <c r="B20" t="s">
        <v>12</v>
      </c>
      <c r="C20" s="39">
        <v>46223</v>
      </c>
      <c r="D20" t="s">
        <v>82</v>
      </c>
      <c r="E20" t="s">
        <v>83</v>
      </c>
      <c r="F20" t="s">
        <v>121</v>
      </c>
      <c r="G20" s="39">
        <v>0.8743171296296296</v>
      </c>
      <c r="H20" s="39">
        <v>0.87451388888888892</v>
      </c>
      <c r="I20">
        <v>4.7000000000000002E-3</v>
      </c>
      <c r="J20" t="s">
        <v>3</v>
      </c>
      <c r="K20" t="s">
        <v>122</v>
      </c>
      <c r="L20" t="s">
        <v>80</v>
      </c>
      <c r="M20" t="s">
        <v>70</v>
      </c>
      <c r="N20" t="s">
        <v>80</v>
      </c>
      <c r="O20" t="s">
        <v>164</v>
      </c>
      <c r="P20" t="s">
        <v>164</v>
      </c>
    </row>
    <row r="21" spans="1:16" x14ac:dyDescent="0.3">
      <c r="A21" t="s">
        <v>81</v>
      </c>
      <c r="B21" t="s">
        <v>12</v>
      </c>
      <c r="C21" s="39">
        <v>46224</v>
      </c>
      <c r="D21" t="s">
        <v>82</v>
      </c>
      <c r="E21" t="s">
        <v>83</v>
      </c>
      <c r="F21" t="s">
        <v>123</v>
      </c>
      <c r="G21" s="39">
        <v>0.8743171296296296</v>
      </c>
      <c r="H21" s="39">
        <v>0.87461805555555561</v>
      </c>
      <c r="I21">
        <v>7.1999999999999998E-3</v>
      </c>
      <c r="J21" t="s">
        <v>3</v>
      </c>
      <c r="K21" t="s">
        <v>124</v>
      </c>
      <c r="L21" t="s">
        <v>80</v>
      </c>
      <c r="M21" t="s">
        <v>70</v>
      </c>
      <c r="N21" t="s">
        <v>80</v>
      </c>
      <c r="O21" t="s">
        <v>164</v>
      </c>
      <c r="P21" t="s">
        <v>164</v>
      </c>
    </row>
    <row r="22" spans="1:16" x14ac:dyDescent="0.3">
      <c r="A22" t="s">
        <v>81</v>
      </c>
      <c r="B22" t="s">
        <v>12</v>
      </c>
      <c r="C22" s="39">
        <v>46226</v>
      </c>
      <c r="D22" t="s">
        <v>82</v>
      </c>
      <c r="E22" t="s">
        <v>83</v>
      </c>
      <c r="F22" t="s">
        <v>125</v>
      </c>
      <c r="G22" s="39">
        <v>0.8743171296296296</v>
      </c>
      <c r="H22" s="39">
        <v>0.87458333333333338</v>
      </c>
      <c r="I22">
        <v>6.4000000000000003E-3</v>
      </c>
      <c r="J22" t="s">
        <v>3</v>
      </c>
      <c r="K22" t="s">
        <v>126</v>
      </c>
      <c r="L22" t="s">
        <v>80</v>
      </c>
      <c r="M22" t="s">
        <v>70</v>
      </c>
      <c r="N22" t="s">
        <v>80</v>
      </c>
      <c r="O22" t="s">
        <v>164</v>
      </c>
      <c r="P22" t="s">
        <v>164</v>
      </c>
    </row>
    <row r="23" spans="1:16" x14ac:dyDescent="0.3">
      <c r="A23" t="s">
        <v>81</v>
      </c>
      <c r="B23" t="s">
        <v>12</v>
      </c>
      <c r="C23" s="39">
        <v>46227</v>
      </c>
      <c r="D23" t="s">
        <v>82</v>
      </c>
      <c r="E23" t="s">
        <v>83</v>
      </c>
      <c r="F23" t="s">
        <v>165</v>
      </c>
      <c r="G23" s="39">
        <v>0.7493171296296296</v>
      </c>
      <c r="H23" s="39">
        <v>0.74958333333333338</v>
      </c>
      <c r="I23">
        <v>6.4000000000000003E-3</v>
      </c>
      <c r="J23" t="s">
        <v>3</v>
      </c>
      <c r="K23" t="s">
        <v>166</v>
      </c>
      <c r="L23" t="s">
        <v>80</v>
      </c>
      <c r="M23" t="s">
        <v>70</v>
      </c>
      <c r="N23" t="s">
        <v>80</v>
      </c>
      <c r="O23" t="s">
        <v>164</v>
      </c>
      <c r="P23" t="s">
        <v>164</v>
      </c>
    </row>
    <row r="24" spans="1:16" x14ac:dyDescent="0.3">
      <c r="A24" t="s">
        <v>81</v>
      </c>
      <c r="B24" t="s">
        <v>12</v>
      </c>
      <c r="C24" s="39">
        <v>46228</v>
      </c>
      <c r="D24" t="s">
        <v>82</v>
      </c>
      <c r="E24" t="s">
        <v>88</v>
      </c>
      <c r="F24" t="s">
        <v>167</v>
      </c>
      <c r="G24" s="39">
        <v>0.7493171296296296</v>
      </c>
      <c r="H24" s="39">
        <v>0.76857638888888891</v>
      </c>
      <c r="I24">
        <v>0.4622</v>
      </c>
      <c r="J24" t="s">
        <v>3</v>
      </c>
      <c r="K24" t="s">
        <v>168</v>
      </c>
      <c r="L24" t="s">
        <v>80</v>
      </c>
      <c r="M24" t="s">
        <v>70</v>
      </c>
      <c r="N24" t="s">
        <v>80</v>
      </c>
      <c r="O24" t="s">
        <v>164</v>
      </c>
      <c r="P24" t="s">
        <v>164</v>
      </c>
    </row>
    <row r="25" spans="1:16" x14ac:dyDescent="0.3">
      <c r="A25" t="s">
        <v>81</v>
      </c>
      <c r="B25" t="s">
        <v>12</v>
      </c>
      <c r="C25" s="39">
        <v>46229</v>
      </c>
      <c r="D25" t="s">
        <v>82</v>
      </c>
      <c r="E25" t="s">
        <v>83</v>
      </c>
      <c r="F25" t="s">
        <v>169</v>
      </c>
      <c r="G25" s="39">
        <v>0.7493171296296296</v>
      </c>
      <c r="H25" s="39">
        <v>0.74962962962962965</v>
      </c>
      <c r="I25">
        <v>7.4999999999999997E-3</v>
      </c>
      <c r="J25" t="s">
        <v>3</v>
      </c>
      <c r="K25" t="s">
        <v>170</v>
      </c>
      <c r="L25" t="s">
        <v>80</v>
      </c>
      <c r="M25" t="s">
        <v>70</v>
      </c>
      <c r="N25" t="s">
        <v>80</v>
      </c>
      <c r="O25" t="s">
        <v>164</v>
      </c>
      <c r="P25" t="s">
        <v>164</v>
      </c>
    </row>
    <row r="26" spans="1:16" x14ac:dyDescent="0.3">
      <c r="A26" t="s">
        <v>81</v>
      </c>
      <c r="B26" t="s">
        <v>12</v>
      </c>
      <c r="C26" s="39">
        <v>46231</v>
      </c>
      <c r="D26" t="s">
        <v>82</v>
      </c>
      <c r="E26" t="s">
        <v>83</v>
      </c>
      <c r="F26" t="s">
        <v>171</v>
      </c>
      <c r="G26" s="39">
        <v>0.7493171296296296</v>
      </c>
      <c r="H26" s="39">
        <v>0.74951388888888892</v>
      </c>
      <c r="I26" s="3">
        <v>4.7000000000000002E-3</v>
      </c>
      <c r="J26" s="3" t="s">
        <v>3</v>
      </c>
      <c r="K26" t="s">
        <v>172</v>
      </c>
      <c r="L26" t="s">
        <v>80</v>
      </c>
      <c r="M26" t="s">
        <v>70</v>
      </c>
      <c r="N26" t="s">
        <v>80</v>
      </c>
      <c r="O26" t="s">
        <v>164</v>
      </c>
      <c r="P26" t="s">
        <v>164</v>
      </c>
    </row>
    <row r="27" spans="1:16" x14ac:dyDescent="0.3">
      <c r="A27" t="s">
        <v>81</v>
      </c>
      <c r="B27" t="s">
        <v>12</v>
      </c>
      <c r="C27" s="39">
        <v>46232</v>
      </c>
      <c r="D27" t="s">
        <v>82</v>
      </c>
      <c r="E27" t="s">
        <v>83</v>
      </c>
      <c r="F27" t="s">
        <v>196</v>
      </c>
      <c r="G27" s="39">
        <v>0.7493171296296296</v>
      </c>
      <c r="H27" s="39">
        <v>0.74967592592592591</v>
      </c>
      <c r="I27" s="3">
        <v>8.6E-3</v>
      </c>
      <c r="J27" s="3" t="s">
        <v>3</v>
      </c>
      <c r="K27" t="s">
        <v>197</v>
      </c>
      <c r="L27" t="s">
        <v>80</v>
      </c>
      <c r="M27" t="s">
        <v>70</v>
      </c>
      <c r="N27" t="s">
        <v>80</v>
      </c>
      <c r="O27" t="s">
        <v>164</v>
      </c>
      <c r="P27" t="s">
        <v>164</v>
      </c>
    </row>
    <row r="28" spans="1:16" x14ac:dyDescent="0.3">
      <c r="A28" t="s">
        <v>81</v>
      </c>
      <c r="B28" t="s">
        <v>13</v>
      </c>
      <c r="C28" s="39">
        <v>46208</v>
      </c>
      <c r="D28" t="s">
        <v>175</v>
      </c>
      <c r="E28" t="s">
        <v>88</v>
      </c>
      <c r="F28" t="s">
        <v>198</v>
      </c>
      <c r="G28" s="39">
        <v>0.71186342592592589</v>
      </c>
      <c r="H28" s="39">
        <v>0.71240740740740738</v>
      </c>
      <c r="I28" s="3">
        <v>1.3100000000000001E-2</v>
      </c>
      <c r="J28" s="3" t="s">
        <v>3</v>
      </c>
      <c r="K28" t="s">
        <v>176</v>
      </c>
      <c r="L28" t="s">
        <v>70</v>
      </c>
      <c r="M28" t="s">
        <v>70</v>
      </c>
      <c r="N28" t="s">
        <v>80</v>
      </c>
      <c r="O28" t="s">
        <v>164</v>
      </c>
      <c r="P28" t="s">
        <v>164</v>
      </c>
    </row>
    <row r="29" spans="1:16" x14ac:dyDescent="0.3">
      <c r="A29" t="s">
        <v>81</v>
      </c>
      <c r="B29" t="s">
        <v>13</v>
      </c>
      <c r="C29" s="39">
        <v>46215</v>
      </c>
      <c r="D29" t="s">
        <v>175</v>
      </c>
      <c r="E29" t="s">
        <v>88</v>
      </c>
      <c r="F29" t="s">
        <v>199</v>
      </c>
      <c r="G29" s="39">
        <v>0.73488425925925926</v>
      </c>
      <c r="H29" s="39">
        <v>0.73547453703703702</v>
      </c>
      <c r="I29" s="3">
        <v>1.4200000000000001E-2</v>
      </c>
      <c r="J29" s="3" t="s">
        <v>3</v>
      </c>
      <c r="K29" t="s">
        <v>177</v>
      </c>
      <c r="L29" t="s">
        <v>70</v>
      </c>
      <c r="M29" t="s">
        <v>70</v>
      </c>
      <c r="N29" t="s">
        <v>80</v>
      </c>
      <c r="O29" t="s">
        <v>164</v>
      </c>
      <c r="P29" t="s">
        <v>164</v>
      </c>
    </row>
    <row r="30" spans="1:16" x14ac:dyDescent="0.3">
      <c r="A30" t="s">
        <v>81</v>
      </c>
      <c r="B30" t="s">
        <v>13</v>
      </c>
      <c r="C30" s="39">
        <v>46224</v>
      </c>
      <c r="D30" t="s">
        <v>175</v>
      </c>
      <c r="E30" t="s">
        <v>88</v>
      </c>
      <c r="F30" t="s">
        <v>200</v>
      </c>
      <c r="G30" s="39">
        <v>0.49320601851851853</v>
      </c>
      <c r="H30" s="39">
        <v>0.49384259259259261</v>
      </c>
      <c r="I30" s="3">
        <v>1.5299999999999999E-2</v>
      </c>
      <c r="J30" s="3" t="s">
        <v>3</v>
      </c>
      <c r="K30" t="s">
        <v>178</v>
      </c>
      <c r="L30" t="s">
        <v>70</v>
      </c>
      <c r="M30" t="s">
        <v>70</v>
      </c>
      <c r="N30" t="s">
        <v>80</v>
      </c>
      <c r="O30" t="s">
        <v>164</v>
      </c>
      <c r="P30" t="s">
        <v>164</v>
      </c>
    </row>
    <row r="31" spans="1:16" x14ac:dyDescent="0.3">
      <c r="A31" t="s">
        <v>81</v>
      </c>
      <c r="B31" t="s">
        <v>13</v>
      </c>
      <c r="C31" s="39">
        <v>46230</v>
      </c>
      <c r="D31" t="s">
        <v>175</v>
      </c>
      <c r="E31" t="s">
        <v>88</v>
      </c>
      <c r="F31" t="s">
        <v>201</v>
      </c>
      <c r="G31" s="39">
        <v>0.20916666666666667</v>
      </c>
      <c r="H31" s="39">
        <v>0.20972222222222223</v>
      </c>
      <c r="I31" s="3">
        <v>1.3299999999999999E-2</v>
      </c>
      <c r="J31" s="3" t="s">
        <v>3</v>
      </c>
      <c r="K31" t="s">
        <v>179</v>
      </c>
      <c r="L31" t="s">
        <v>70</v>
      </c>
      <c r="M31" t="s">
        <v>70</v>
      </c>
      <c r="N31" t="s">
        <v>80</v>
      </c>
      <c r="O31" t="s">
        <v>164</v>
      </c>
      <c r="P31" t="s">
        <v>164</v>
      </c>
    </row>
    <row r="32" spans="1:16" x14ac:dyDescent="0.3">
      <c r="A32" t="s">
        <v>81</v>
      </c>
      <c r="B32" t="s">
        <v>12</v>
      </c>
      <c r="C32" s="39">
        <v>46233</v>
      </c>
      <c r="D32" t="s">
        <v>82</v>
      </c>
      <c r="E32" t="s">
        <v>83</v>
      </c>
      <c r="F32" t="s">
        <v>213</v>
      </c>
      <c r="G32" s="39">
        <v>0.7493171296296296</v>
      </c>
      <c r="H32" s="39">
        <v>0.749537037037037</v>
      </c>
      <c r="I32" s="3">
        <v>5.3E-3</v>
      </c>
      <c r="J32" s="3" t="s">
        <v>3</v>
      </c>
      <c r="K32" t="s">
        <v>214</v>
      </c>
      <c r="L32" t="s">
        <v>80</v>
      </c>
      <c r="M32" t="s">
        <v>70</v>
      </c>
      <c r="N32" t="s">
        <v>80</v>
      </c>
      <c r="O32" t="s">
        <v>164</v>
      </c>
      <c r="P32" t="s">
        <v>164</v>
      </c>
    </row>
    <row r="33" spans="1:18" x14ac:dyDescent="0.3">
      <c r="A33" t="s">
        <v>81</v>
      </c>
      <c r="B33" t="s">
        <v>11</v>
      </c>
      <c r="C33" s="39">
        <v>46214</v>
      </c>
      <c r="D33" t="s">
        <v>202</v>
      </c>
      <c r="E33" t="s">
        <v>88</v>
      </c>
      <c r="F33" t="s">
        <v>234</v>
      </c>
      <c r="G33" s="39">
        <v>0.70844907407407409</v>
      </c>
      <c r="H33" s="39">
        <v>0.70844907407407409</v>
      </c>
      <c r="I33" s="3">
        <v>0</v>
      </c>
      <c r="J33" s="3" t="s">
        <v>4</v>
      </c>
      <c r="K33" t="s">
        <v>235</v>
      </c>
      <c r="L33" t="s">
        <v>70</v>
      </c>
      <c r="M33" t="s">
        <v>70</v>
      </c>
      <c r="N33" t="s">
        <v>80</v>
      </c>
      <c r="O33" t="s">
        <v>164</v>
      </c>
      <c r="P33" t="s">
        <v>164</v>
      </c>
    </row>
    <row r="34" spans="1:18" x14ac:dyDescent="0.3">
      <c r="A34" t="s">
        <v>81</v>
      </c>
      <c r="B34" t="s">
        <v>11</v>
      </c>
      <c r="C34" s="39">
        <v>46213</v>
      </c>
      <c r="D34" t="s">
        <v>202</v>
      </c>
      <c r="E34" t="s">
        <v>88</v>
      </c>
      <c r="F34" t="s">
        <v>236</v>
      </c>
      <c r="G34" s="39">
        <v>0.70844907407407409</v>
      </c>
      <c r="H34" s="39">
        <v>0.70844907407407409</v>
      </c>
      <c r="I34" s="3">
        <v>0</v>
      </c>
      <c r="J34" s="3" t="s">
        <v>3</v>
      </c>
      <c r="K34" t="s">
        <v>235</v>
      </c>
      <c r="L34" t="s">
        <v>80</v>
      </c>
      <c r="M34" t="s">
        <v>70</v>
      </c>
      <c r="N34" t="s">
        <v>80</v>
      </c>
      <c r="O34" t="s">
        <v>164</v>
      </c>
      <c r="P34" t="s">
        <v>164</v>
      </c>
    </row>
    <row r="35" spans="1:18" x14ac:dyDescent="0.3">
      <c r="A35" t="s">
        <v>81</v>
      </c>
      <c r="B35" t="s">
        <v>11</v>
      </c>
      <c r="C35" s="39">
        <v>46212</v>
      </c>
      <c r="D35" t="s">
        <v>202</v>
      </c>
      <c r="E35" t="s">
        <v>88</v>
      </c>
      <c r="F35" t="s">
        <v>237</v>
      </c>
      <c r="G35" s="39">
        <v>0.70844907407407409</v>
      </c>
      <c r="H35" s="39">
        <v>0.70844907407407409</v>
      </c>
      <c r="I35" s="3">
        <v>0</v>
      </c>
      <c r="J35" s="3" t="s">
        <v>3</v>
      </c>
      <c r="K35" t="s">
        <v>235</v>
      </c>
      <c r="L35" t="s">
        <v>80</v>
      </c>
      <c r="M35" t="s">
        <v>70</v>
      </c>
      <c r="N35" t="s">
        <v>80</v>
      </c>
      <c r="O35" t="s">
        <v>164</v>
      </c>
      <c r="P35" t="s">
        <v>164</v>
      </c>
    </row>
    <row r="36" spans="1:18" s="48" customFormat="1" x14ac:dyDescent="0.3">
      <c r="A36" t="s">
        <v>81</v>
      </c>
      <c r="B36" t="s">
        <v>11</v>
      </c>
      <c r="C36" s="39">
        <v>46214</v>
      </c>
      <c r="D36" t="s">
        <v>202</v>
      </c>
      <c r="E36" t="s">
        <v>88</v>
      </c>
      <c r="F36" t="s">
        <v>203</v>
      </c>
      <c r="G36" s="39">
        <v>0.69554398148148144</v>
      </c>
      <c r="H36" s="39">
        <v>0.69554398148148144</v>
      </c>
      <c r="I36" s="3">
        <v>0</v>
      </c>
      <c r="J36" s="3" t="s">
        <v>4</v>
      </c>
      <c r="K36" t="s">
        <v>204</v>
      </c>
      <c r="L36" t="s">
        <v>70</v>
      </c>
      <c r="M36" t="s">
        <v>70</v>
      </c>
      <c r="N36" t="s">
        <v>80</v>
      </c>
      <c r="O36" t="s">
        <v>164</v>
      </c>
      <c r="P36" t="s">
        <v>164</v>
      </c>
      <c r="Q36" s="50"/>
      <c r="R36" s="50"/>
    </row>
    <row r="37" spans="1:18" s="48" customFormat="1" x14ac:dyDescent="0.3">
      <c r="A37" t="s">
        <v>81</v>
      </c>
      <c r="B37" t="s">
        <v>11</v>
      </c>
      <c r="C37" s="39">
        <v>46214</v>
      </c>
      <c r="D37" t="s">
        <v>202</v>
      </c>
      <c r="E37" t="s">
        <v>83</v>
      </c>
      <c r="F37" t="s">
        <v>205</v>
      </c>
      <c r="G37" s="39">
        <v>0.66728009259259258</v>
      </c>
      <c r="H37" s="39">
        <v>0.66728009259259258</v>
      </c>
      <c r="I37" s="3">
        <v>0</v>
      </c>
      <c r="J37" s="3" t="s">
        <v>3</v>
      </c>
      <c r="K37" t="s">
        <v>204</v>
      </c>
      <c r="L37" t="s">
        <v>80</v>
      </c>
      <c r="M37" t="s">
        <v>70</v>
      </c>
      <c r="N37" t="s">
        <v>80</v>
      </c>
      <c r="O37" t="s">
        <v>164</v>
      </c>
      <c r="P37" t="s">
        <v>164</v>
      </c>
      <c r="Q37" s="50"/>
      <c r="R37" s="50"/>
    </row>
    <row r="38" spans="1:18" x14ac:dyDescent="0.3">
      <c r="A38" t="s">
        <v>81</v>
      </c>
      <c r="B38" t="s">
        <v>12</v>
      </c>
      <c r="C38" s="39">
        <v>46234</v>
      </c>
      <c r="D38" t="s">
        <v>82</v>
      </c>
      <c r="E38" t="s">
        <v>83</v>
      </c>
      <c r="F38" t="s">
        <v>238</v>
      </c>
      <c r="G38" s="39">
        <v>0.7493171296296296</v>
      </c>
      <c r="H38" s="39">
        <v>0.74965277777777772</v>
      </c>
      <c r="I38" s="3">
        <v>8.0999999999999996E-3</v>
      </c>
      <c r="J38" s="3" t="s">
        <v>3</v>
      </c>
      <c r="K38" t="s">
        <v>239</v>
      </c>
      <c r="L38" t="s">
        <v>80</v>
      </c>
      <c r="M38" t="s">
        <v>70</v>
      </c>
      <c r="N38" t="s">
        <v>80</v>
      </c>
      <c r="O38" t="s">
        <v>164</v>
      </c>
      <c r="P38" t="s">
        <v>164</v>
      </c>
    </row>
    <row r="39" spans="1:18" x14ac:dyDescent="0.3">
      <c r="A39" t="s">
        <v>81</v>
      </c>
      <c r="B39" t="s">
        <v>12</v>
      </c>
      <c r="C39" s="39">
        <v>46235</v>
      </c>
      <c r="D39" t="s">
        <v>82</v>
      </c>
      <c r="E39" t="s">
        <v>88</v>
      </c>
      <c r="F39" t="s">
        <v>240</v>
      </c>
      <c r="G39" s="39">
        <v>0.7493171296296296</v>
      </c>
      <c r="H39" s="39">
        <v>0.76627314814814818</v>
      </c>
      <c r="I39" s="3">
        <v>0.40689999999999998</v>
      </c>
      <c r="J39" s="3" t="s">
        <v>3</v>
      </c>
      <c r="K39" t="s">
        <v>241</v>
      </c>
      <c r="L39" t="s">
        <v>80</v>
      </c>
      <c r="M39" t="s">
        <v>70</v>
      </c>
      <c r="N39" t="s">
        <v>80</v>
      </c>
      <c r="O39" t="s">
        <v>164</v>
      </c>
      <c r="P39" t="s">
        <v>164</v>
      </c>
    </row>
    <row r="40" spans="1:18" x14ac:dyDescent="0.3">
      <c r="A40" t="s">
        <v>81</v>
      </c>
      <c r="B40" t="s">
        <v>12</v>
      </c>
      <c r="C40" s="39">
        <v>46236</v>
      </c>
      <c r="D40" t="s">
        <v>82</v>
      </c>
      <c r="E40" t="s">
        <v>83</v>
      </c>
      <c r="F40" t="s">
        <v>251</v>
      </c>
      <c r="G40" s="39">
        <v>0.7493171296296296</v>
      </c>
      <c r="H40" s="39">
        <v>0.74956018518518519</v>
      </c>
      <c r="I40" s="3">
        <v>5.7999999999999996E-3</v>
      </c>
      <c r="J40" s="3" t="s">
        <v>3</v>
      </c>
      <c r="K40" t="s">
        <v>252</v>
      </c>
      <c r="L40" t="s">
        <v>80</v>
      </c>
      <c r="M40" t="s">
        <v>70</v>
      </c>
      <c r="N40" t="s">
        <v>80</v>
      </c>
      <c r="O40" t="s">
        <v>164</v>
      </c>
      <c r="P40" t="s">
        <v>164</v>
      </c>
    </row>
    <row r="46" spans="1:18" x14ac:dyDescent="0.3">
      <c r="A46" s="48"/>
      <c r="B46" s="48"/>
      <c r="C46" s="49"/>
      <c r="D46" s="50"/>
      <c r="E46" s="48"/>
      <c r="F46" s="50"/>
      <c r="G46" s="51"/>
      <c r="H46" s="51"/>
      <c r="I46" s="52"/>
      <c r="J46" s="52"/>
      <c r="K46" s="48"/>
      <c r="L46" s="50"/>
      <c r="M46" s="48"/>
      <c r="N46" s="48"/>
      <c r="O46" s="50"/>
      <c r="P46" s="50"/>
    </row>
    <row r="47" spans="1:18" x14ac:dyDescent="0.3">
      <c r="A47" s="48"/>
      <c r="B47" s="48"/>
      <c r="C47" s="49"/>
      <c r="D47" s="50"/>
      <c r="E47" s="48"/>
      <c r="F47" s="50"/>
      <c r="G47" s="51"/>
      <c r="H47" s="51"/>
      <c r="I47" s="52"/>
      <c r="J47" s="52"/>
      <c r="K47" s="48"/>
      <c r="L47" s="50"/>
      <c r="M47" s="48"/>
      <c r="N47" s="48"/>
      <c r="O47" s="50"/>
      <c r="P47" s="50"/>
    </row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</sheetData>
  <dataValidations count="5">
    <dataValidation type="list" allowBlank="1" sqref="A46:A213" xr:uid="{00000000-0002-0000-0400-000000000000}">
      <formula1>"Backup,Restore Test"</formula1>
      <formula2>0</formula2>
    </dataValidation>
    <dataValidation type="list" allowBlank="1" sqref="B46:B213" xr:uid="{00000000-0002-0000-0400-000001000000}">
      <formula1>"Oracle,MySQL,MS SQL Server,PostgreSQL"</formula1>
      <formula2>0</formula2>
    </dataValidation>
    <dataValidation type="list" allowBlank="1" sqref="E46:E213" xr:uid="{00000000-0002-0000-0400-000002000000}">
      <formula1>"Full,Incremental,Differential,Log"</formula1>
      <formula2>0</formula2>
    </dataValidation>
    <dataValidation type="list" allowBlank="1" sqref="K46:K213" xr:uid="{00000000-0002-0000-0400-000003000000}">
      <formula1>"Success,Failed,Running,Pass,Fail"</formula1>
      <formula2>0</formula2>
    </dataValidation>
    <dataValidation type="list" allowBlank="1" sqref="M46:N213" xr:uid="{00000000-0002-0000-0400-000004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87"/>
  <sheetViews>
    <sheetView zoomScaleNormal="100" workbookViewId="0">
      <pane ySplit="1" topLeftCell="A2" activePane="bottomLeft" state="frozen"/>
      <selection pane="bottomLeft" activeCell="F12" sqref="F12"/>
    </sheetView>
  </sheetViews>
  <sheetFormatPr defaultColWidth="8.6640625" defaultRowHeight="14.4" x14ac:dyDescent="0.3"/>
  <cols>
    <col min="1" max="1" width="13.6640625" style="64" bestFit="1" customWidth="1"/>
    <col min="2" max="2" width="21.109375" bestFit="1" customWidth="1"/>
    <col min="3" max="3" width="8.6640625" bestFit="1" customWidth="1"/>
    <col min="4" max="4" width="12.33203125" bestFit="1" customWidth="1"/>
    <col min="5" max="5" width="8.5546875" bestFit="1" customWidth="1"/>
    <col min="6" max="6" width="14.44140625" bestFit="1" customWidth="1"/>
    <col min="7" max="7" width="13.6640625" bestFit="1" customWidth="1"/>
    <col min="8" max="8" width="14" bestFit="1" customWidth="1"/>
    <col min="9" max="9" width="9.88671875" bestFit="1" customWidth="1"/>
    <col min="10" max="10" width="14.33203125" bestFit="1" customWidth="1"/>
    <col min="11" max="11" width="12.6640625" bestFit="1" customWidth="1"/>
    <col min="12" max="12" width="11.109375" bestFit="1" customWidth="1"/>
  </cols>
  <sheetData>
    <row r="1" spans="1:11" x14ac:dyDescent="0.3">
      <c r="A1" s="64" t="s">
        <v>71</v>
      </c>
      <c r="B1" t="s">
        <v>127</v>
      </c>
      <c r="C1" t="s">
        <v>8</v>
      </c>
      <c r="D1" t="s">
        <v>9</v>
      </c>
      <c r="E1" t="s">
        <v>10</v>
      </c>
      <c r="F1" t="s">
        <v>128</v>
      </c>
      <c r="G1" t="s">
        <v>129</v>
      </c>
      <c r="H1" t="s">
        <v>130</v>
      </c>
      <c r="I1" t="s">
        <v>131</v>
      </c>
      <c r="J1" t="s">
        <v>132</v>
      </c>
      <c r="K1" t="s">
        <v>7</v>
      </c>
    </row>
    <row r="2" spans="1:11" x14ac:dyDescent="0.3">
      <c r="A2" s="65">
        <v>46237</v>
      </c>
      <c r="B2" t="s">
        <v>82</v>
      </c>
      <c r="C2">
        <v>15.6</v>
      </c>
      <c r="D2">
        <v>90.57</v>
      </c>
      <c r="E2">
        <v>20</v>
      </c>
      <c r="F2">
        <v>20</v>
      </c>
      <c r="G2">
        <v>36</v>
      </c>
      <c r="H2">
        <v>33987</v>
      </c>
      <c r="I2">
        <v>3</v>
      </c>
      <c r="J2" t="s">
        <v>2</v>
      </c>
      <c r="K2" t="s">
        <v>12</v>
      </c>
    </row>
    <row r="3" spans="1:11" x14ac:dyDescent="0.3">
      <c r="A3" s="65">
        <v>46237</v>
      </c>
      <c r="B3" t="s">
        <v>206</v>
      </c>
      <c r="C3">
        <v>8.4</v>
      </c>
      <c r="D3">
        <v>35.15</v>
      </c>
      <c r="E3">
        <v>20</v>
      </c>
      <c r="F3">
        <v>0</v>
      </c>
      <c r="G3">
        <v>10</v>
      </c>
      <c r="H3">
        <v>0</v>
      </c>
      <c r="I3">
        <v>40</v>
      </c>
      <c r="J3" t="s">
        <v>48</v>
      </c>
      <c r="K3" t="s">
        <v>11</v>
      </c>
    </row>
    <row r="4" spans="1:11" x14ac:dyDescent="0.3">
      <c r="A4" s="65">
        <v>46237</v>
      </c>
      <c r="B4" t="s">
        <v>207</v>
      </c>
      <c r="C4">
        <v>0.53</v>
      </c>
      <c r="D4">
        <v>19.809999999999999</v>
      </c>
      <c r="E4">
        <v>20</v>
      </c>
      <c r="F4">
        <v>0</v>
      </c>
      <c r="G4">
        <v>10</v>
      </c>
      <c r="H4">
        <v>0</v>
      </c>
      <c r="I4">
        <v>40</v>
      </c>
      <c r="J4" t="s">
        <v>48</v>
      </c>
      <c r="K4" t="s">
        <v>11</v>
      </c>
    </row>
    <row r="5" spans="1:11" x14ac:dyDescent="0.3">
      <c r="A5" s="65">
        <v>46236</v>
      </c>
      <c r="B5" t="s">
        <v>82</v>
      </c>
      <c r="C5">
        <v>16.899999999999999</v>
      </c>
      <c r="D5">
        <v>89.15</v>
      </c>
      <c r="E5">
        <v>20</v>
      </c>
      <c r="F5">
        <v>20</v>
      </c>
      <c r="G5">
        <v>35</v>
      </c>
      <c r="H5">
        <v>32006</v>
      </c>
      <c r="I5">
        <v>4</v>
      </c>
      <c r="J5" t="s">
        <v>133</v>
      </c>
      <c r="K5" t="s">
        <v>12</v>
      </c>
    </row>
    <row r="6" spans="1:11" x14ac:dyDescent="0.3">
      <c r="A6" s="65">
        <v>46236</v>
      </c>
      <c r="B6" t="s">
        <v>206</v>
      </c>
      <c r="C6">
        <v>7.86</v>
      </c>
      <c r="D6">
        <v>34.9</v>
      </c>
      <c r="E6">
        <v>20</v>
      </c>
      <c r="F6">
        <v>0</v>
      </c>
      <c r="G6">
        <v>10</v>
      </c>
      <c r="H6">
        <v>0</v>
      </c>
      <c r="I6">
        <v>40</v>
      </c>
      <c r="J6" t="s">
        <v>48</v>
      </c>
      <c r="K6" t="s">
        <v>11</v>
      </c>
    </row>
    <row r="7" spans="1:11" x14ac:dyDescent="0.3">
      <c r="A7" s="65">
        <v>46236</v>
      </c>
      <c r="B7" t="s">
        <v>207</v>
      </c>
      <c r="C7">
        <v>0.71</v>
      </c>
      <c r="D7">
        <v>19.79</v>
      </c>
      <c r="E7">
        <v>20</v>
      </c>
      <c r="F7">
        <v>0</v>
      </c>
      <c r="G7">
        <v>10</v>
      </c>
      <c r="H7">
        <v>0</v>
      </c>
      <c r="I7">
        <v>40</v>
      </c>
      <c r="J7" t="s">
        <v>48</v>
      </c>
      <c r="K7" t="s">
        <v>11</v>
      </c>
    </row>
    <row r="8" spans="1:11" x14ac:dyDescent="0.3">
      <c r="A8" s="65">
        <v>46236</v>
      </c>
      <c r="B8" t="s">
        <v>13</v>
      </c>
      <c r="C8">
        <v>5</v>
      </c>
      <c r="D8">
        <v>35.81</v>
      </c>
      <c r="E8">
        <v>21.59</v>
      </c>
      <c r="F8">
        <v>0</v>
      </c>
      <c r="G8">
        <v>5</v>
      </c>
      <c r="H8">
        <v>0</v>
      </c>
      <c r="I8">
        <v>72</v>
      </c>
      <c r="J8" t="s">
        <v>48</v>
      </c>
      <c r="K8" t="s">
        <v>13</v>
      </c>
    </row>
    <row r="9" spans="1:11" x14ac:dyDescent="0.3">
      <c r="A9" s="65">
        <v>46235</v>
      </c>
      <c r="B9" t="s">
        <v>82</v>
      </c>
      <c r="C9">
        <v>36</v>
      </c>
      <c r="D9">
        <v>46.07</v>
      </c>
      <c r="E9">
        <v>20</v>
      </c>
      <c r="F9">
        <v>20</v>
      </c>
      <c r="G9">
        <v>30</v>
      </c>
      <c r="H9">
        <v>27403</v>
      </c>
      <c r="I9">
        <v>4</v>
      </c>
      <c r="J9" t="s">
        <v>48</v>
      </c>
      <c r="K9" t="s">
        <v>12</v>
      </c>
    </row>
    <row r="10" spans="1:11" x14ac:dyDescent="0.3">
      <c r="A10" s="65">
        <v>46235</v>
      </c>
      <c r="B10" t="s">
        <v>206</v>
      </c>
      <c r="C10">
        <v>15.66</v>
      </c>
      <c r="D10">
        <v>35.700000000000003</v>
      </c>
      <c r="E10">
        <v>20</v>
      </c>
      <c r="F10">
        <v>0</v>
      </c>
      <c r="G10">
        <v>10</v>
      </c>
      <c r="H10">
        <v>0</v>
      </c>
      <c r="I10">
        <v>40</v>
      </c>
      <c r="J10" t="s">
        <v>48</v>
      </c>
      <c r="K10" t="s">
        <v>11</v>
      </c>
    </row>
    <row r="11" spans="1:11" x14ac:dyDescent="0.3">
      <c r="A11" s="65">
        <v>46235</v>
      </c>
      <c r="B11" t="s">
        <v>207</v>
      </c>
      <c r="C11">
        <v>0.61</v>
      </c>
      <c r="D11">
        <v>20.079999999999998</v>
      </c>
      <c r="E11">
        <v>20</v>
      </c>
      <c r="F11">
        <v>0</v>
      </c>
      <c r="G11">
        <v>10</v>
      </c>
      <c r="H11">
        <v>0</v>
      </c>
      <c r="I11">
        <v>40</v>
      </c>
      <c r="J11" t="s">
        <v>48</v>
      </c>
      <c r="K11" t="s">
        <v>11</v>
      </c>
    </row>
    <row r="12" spans="1:11" x14ac:dyDescent="0.3">
      <c r="A12" s="65">
        <v>46235</v>
      </c>
      <c r="B12" t="s">
        <v>13</v>
      </c>
      <c r="C12">
        <v>2</v>
      </c>
      <c r="D12">
        <v>35.659999999999997</v>
      </c>
      <c r="E12">
        <v>21.57</v>
      </c>
      <c r="F12">
        <v>0</v>
      </c>
      <c r="G12">
        <v>5</v>
      </c>
      <c r="H12">
        <v>0</v>
      </c>
      <c r="I12">
        <v>72</v>
      </c>
      <c r="J12" t="s">
        <v>48</v>
      </c>
      <c r="K12" t="s">
        <v>13</v>
      </c>
    </row>
    <row r="13" spans="1:11" x14ac:dyDescent="0.3">
      <c r="A13" s="65">
        <v>46234</v>
      </c>
      <c r="B13" t="s">
        <v>82</v>
      </c>
      <c r="C13">
        <v>17.8</v>
      </c>
      <c r="D13">
        <v>44.82</v>
      </c>
      <c r="E13">
        <v>20</v>
      </c>
      <c r="F13">
        <v>20</v>
      </c>
      <c r="G13">
        <v>37</v>
      </c>
      <c r="H13">
        <v>25134</v>
      </c>
      <c r="I13">
        <v>4</v>
      </c>
      <c r="J13" t="s">
        <v>48</v>
      </c>
      <c r="K13" t="s">
        <v>12</v>
      </c>
    </row>
    <row r="14" spans="1:11" x14ac:dyDescent="0.3">
      <c r="A14" s="65">
        <v>46234</v>
      </c>
      <c r="B14" t="s">
        <v>206</v>
      </c>
      <c r="C14">
        <v>18.38</v>
      </c>
      <c r="D14">
        <v>36.18</v>
      </c>
      <c r="E14">
        <v>20</v>
      </c>
      <c r="F14">
        <v>0</v>
      </c>
      <c r="G14">
        <v>10</v>
      </c>
      <c r="H14">
        <v>0</v>
      </c>
      <c r="I14">
        <v>40</v>
      </c>
      <c r="J14" t="s">
        <v>48</v>
      </c>
      <c r="K14" t="s">
        <v>11</v>
      </c>
    </row>
    <row r="15" spans="1:11" x14ac:dyDescent="0.3">
      <c r="A15" s="65">
        <v>46234</v>
      </c>
      <c r="B15" t="s">
        <v>207</v>
      </c>
      <c r="C15">
        <v>0.92</v>
      </c>
      <c r="D15">
        <v>19.93</v>
      </c>
      <c r="E15">
        <v>20</v>
      </c>
      <c r="F15">
        <v>0</v>
      </c>
      <c r="G15">
        <v>10</v>
      </c>
      <c r="H15">
        <v>0</v>
      </c>
      <c r="I15">
        <v>40</v>
      </c>
      <c r="J15" t="s">
        <v>48</v>
      </c>
      <c r="K15" t="s">
        <v>11</v>
      </c>
    </row>
    <row r="16" spans="1:11" x14ac:dyDescent="0.3">
      <c r="A16" s="65">
        <v>46234</v>
      </c>
      <c r="B16" t="s">
        <v>82</v>
      </c>
      <c r="C16">
        <v>17.8</v>
      </c>
      <c r="D16">
        <v>51.63</v>
      </c>
      <c r="E16">
        <v>20</v>
      </c>
      <c r="F16">
        <v>20</v>
      </c>
      <c r="G16">
        <v>37</v>
      </c>
      <c r="H16">
        <v>48745</v>
      </c>
      <c r="I16">
        <v>4</v>
      </c>
      <c r="J16" t="s">
        <v>48</v>
      </c>
      <c r="K16" t="s">
        <v>12</v>
      </c>
    </row>
    <row r="17" spans="1:11" x14ac:dyDescent="0.3">
      <c r="A17" s="65">
        <v>46234</v>
      </c>
      <c r="B17" t="s">
        <v>206</v>
      </c>
      <c r="C17">
        <v>34.700000000000003</v>
      </c>
      <c r="D17">
        <v>35.53</v>
      </c>
      <c r="E17">
        <v>20</v>
      </c>
      <c r="F17">
        <v>0</v>
      </c>
      <c r="G17">
        <v>10</v>
      </c>
      <c r="H17">
        <v>0</v>
      </c>
      <c r="I17">
        <v>40</v>
      </c>
      <c r="J17" t="s">
        <v>48</v>
      </c>
      <c r="K17" t="s">
        <v>11</v>
      </c>
    </row>
    <row r="18" spans="1:11" x14ac:dyDescent="0.3">
      <c r="A18" s="65">
        <v>46234</v>
      </c>
      <c r="B18" t="s">
        <v>207</v>
      </c>
      <c r="C18">
        <v>0.8</v>
      </c>
      <c r="D18">
        <v>16.760000000000002</v>
      </c>
      <c r="E18">
        <v>20</v>
      </c>
      <c r="F18">
        <v>0</v>
      </c>
      <c r="G18">
        <v>10</v>
      </c>
      <c r="H18">
        <v>0</v>
      </c>
      <c r="I18">
        <v>40</v>
      </c>
      <c r="J18" t="s">
        <v>48</v>
      </c>
      <c r="K18" t="s">
        <v>11</v>
      </c>
    </row>
    <row r="19" spans="1:11" x14ac:dyDescent="0.3">
      <c r="A19" s="65">
        <v>46234</v>
      </c>
      <c r="B19" t="s">
        <v>82</v>
      </c>
      <c r="C19">
        <v>12.2</v>
      </c>
      <c r="D19">
        <v>52.32</v>
      </c>
      <c r="E19">
        <v>20</v>
      </c>
      <c r="F19">
        <v>20</v>
      </c>
      <c r="G19">
        <v>32</v>
      </c>
      <c r="H19">
        <v>48796</v>
      </c>
      <c r="I19">
        <v>4</v>
      </c>
      <c r="J19" t="s">
        <v>48</v>
      </c>
      <c r="K19" t="s">
        <v>12</v>
      </c>
    </row>
    <row r="20" spans="1:11" x14ac:dyDescent="0.3">
      <c r="A20" s="65">
        <v>46234</v>
      </c>
      <c r="B20" t="s">
        <v>206</v>
      </c>
      <c r="C20">
        <v>9.82</v>
      </c>
      <c r="D20">
        <v>35.14</v>
      </c>
      <c r="E20">
        <v>20</v>
      </c>
      <c r="F20">
        <v>0</v>
      </c>
      <c r="G20">
        <v>10</v>
      </c>
      <c r="H20">
        <v>0</v>
      </c>
      <c r="I20">
        <v>40</v>
      </c>
      <c r="J20" t="s">
        <v>48</v>
      </c>
      <c r="K20" t="s">
        <v>11</v>
      </c>
    </row>
    <row r="21" spans="1:11" x14ac:dyDescent="0.3">
      <c r="A21" s="65">
        <v>46234</v>
      </c>
      <c r="B21" t="s">
        <v>207</v>
      </c>
      <c r="C21">
        <v>0.48</v>
      </c>
      <c r="D21">
        <v>16.91</v>
      </c>
      <c r="E21">
        <v>20</v>
      </c>
      <c r="F21">
        <v>0</v>
      </c>
      <c r="G21">
        <v>10</v>
      </c>
      <c r="H21">
        <v>0</v>
      </c>
      <c r="I21">
        <v>40</v>
      </c>
      <c r="J21" t="s">
        <v>48</v>
      </c>
      <c r="K21" t="s">
        <v>11</v>
      </c>
    </row>
    <row r="22" spans="1:11" x14ac:dyDescent="0.3">
      <c r="A22" s="65">
        <v>46234</v>
      </c>
      <c r="B22" t="s">
        <v>13</v>
      </c>
      <c r="C22">
        <v>2.5</v>
      </c>
      <c r="D22">
        <v>35.64</v>
      </c>
      <c r="E22">
        <v>21.56</v>
      </c>
      <c r="F22">
        <v>0</v>
      </c>
      <c r="G22">
        <v>5</v>
      </c>
      <c r="H22">
        <v>0</v>
      </c>
      <c r="I22">
        <v>70</v>
      </c>
      <c r="J22" t="s">
        <v>48</v>
      </c>
      <c r="K22" t="s">
        <v>13</v>
      </c>
    </row>
    <row r="23" spans="1:11" x14ac:dyDescent="0.3">
      <c r="A23" s="65">
        <v>46234</v>
      </c>
      <c r="B23" t="s">
        <v>82</v>
      </c>
      <c r="C23">
        <v>66.7</v>
      </c>
      <c r="D23">
        <v>39.619999999999997</v>
      </c>
      <c r="E23">
        <v>20</v>
      </c>
      <c r="F23">
        <v>20</v>
      </c>
      <c r="G23">
        <v>42</v>
      </c>
      <c r="H23">
        <v>2047</v>
      </c>
      <c r="I23">
        <v>7</v>
      </c>
      <c r="J23" t="s">
        <v>48</v>
      </c>
      <c r="K23" t="s">
        <v>12</v>
      </c>
    </row>
    <row r="24" spans="1:11" x14ac:dyDescent="0.3">
      <c r="A24" s="65">
        <v>46234</v>
      </c>
      <c r="B24" t="s">
        <v>206</v>
      </c>
      <c r="C24">
        <v>14.64</v>
      </c>
      <c r="D24">
        <v>35.5</v>
      </c>
      <c r="E24">
        <v>20</v>
      </c>
      <c r="F24">
        <v>0</v>
      </c>
      <c r="G24">
        <v>10</v>
      </c>
      <c r="H24">
        <v>0</v>
      </c>
      <c r="I24">
        <v>40</v>
      </c>
      <c r="J24" t="s">
        <v>48</v>
      </c>
      <c r="K24" t="s">
        <v>11</v>
      </c>
    </row>
    <row r="25" spans="1:11" x14ac:dyDescent="0.3">
      <c r="A25" s="65">
        <v>46234</v>
      </c>
      <c r="B25" t="s">
        <v>207</v>
      </c>
      <c r="C25">
        <v>1.1499999999999999</v>
      </c>
      <c r="D25">
        <v>18.420000000000002</v>
      </c>
      <c r="E25">
        <v>20</v>
      </c>
      <c r="F25">
        <v>0</v>
      </c>
      <c r="G25">
        <v>10</v>
      </c>
      <c r="H25">
        <v>0</v>
      </c>
      <c r="I25">
        <v>40</v>
      </c>
      <c r="J25" t="s">
        <v>48</v>
      </c>
      <c r="K25" t="s">
        <v>11</v>
      </c>
    </row>
    <row r="26" spans="1:11" x14ac:dyDescent="0.3">
      <c r="A26" s="65">
        <v>46233</v>
      </c>
      <c r="B26" t="s">
        <v>82</v>
      </c>
      <c r="C26">
        <v>26.1</v>
      </c>
      <c r="D26">
        <v>49.84</v>
      </c>
      <c r="E26">
        <v>20</v>
      </c>
      <c r="F26">
        <v>20</v>
      </c>
      <c r="G26">
        <v>34</v>
      </c>
      <c r="H26">
        <v>42187</v>
      </c>
      <c r="I26">
        <v>3</v>
      </c>
      <c r="J26" t="s">
        <v>48</v>
      </c>
      <c r="K26" t="s">
        <v>12</v>
      </c>
    </row>
    <row r="27" spans="1:11" x14ac:dyDescent="0.3">
      <c r="A27" s="65">
        <v>46233</v>
      </c>
      <c r="B27" t="s">
        <v>82</v>
      </c>
      <c r="C27">
        <v>23.9</v>
      </c>
      <c r="D27">
        <v>49.94</v>
      </c>
      <c r="E27">
        <v>20</v>
      </c>
      <c r="F27">
        <v>20</v>
      </c>
      <c r="G27">
        <v>37</v>
      </c>
      <c r="H27">
        <v>42614</v>
      </c>
      <c r="I27">
        <v>3</v>
      </c>
      <c r="J27" t="s">
        <v>48</v>
      </c>
      <c r="K27" t="s">
        <v>12</v>
      </c>
    </row>
    <row r="28" spans="1:11" x14ac:dyDescent="0.3">
      <c r="A28" s="65">
        <v>46233</v>
      </c>
      <c r="B28" t="s">
        <v>82</v>
      </c>
      <c r="C28">
        <v>17.8</v>
      </c>
      <c r="D28">
        <v>52</v>
      </c>
      <c r="E28">
        <v>20</v>
      </c>
      <c r="F28">
        <v>20</v>
      </c>
      <c r="G28">
        <v>43</v>
      </c>
      <c r="H28">
        <v>42698</v>
      </c>
      <c r="I28">
        <v>5</v>
      </c>
      <c r="J28" t="s">
        <v>48</v>
      </c>
      <c r="K28" t="s">
        <v>12</v>
      </c>
    </row>
    <row r="29" spans="1:11" x14ac:dyDescent="0.3">
      <c r="A29" s="65">
        <v>46233</v>
      </c>
      <c r="B29" t="s">
        <v>13</v>
      </c>
      <c r="C29">
        <v>1</v>
      </c>
      <c r="D29">
        <v>35.369999999999997</v>
      </c>
      <c r="E29">
        <v>21.55</v>
      </c>
      <c r="F29">
        <v>0</v>
      </c>
      <c r="G29">
        <v>5</v>
      </c>
      <c r="H29">
        <v>0</v>
      </c>
      <c r="I29">
        <v>71</v>
      </c>
      <c r="J29" t="s">
        <v>48</v>
      </c>
      <c r="K29" t="s">
        <v>13</v>
      </c>
    </row>
    <row r="30" spans="1:11" x14ac:dyDescent="0.3">
      <c r="A30" s="65">
        <v>46233</v>
      </c>
      <c r="B30" t="s">
        <v>82</v>
      </c>
      <c r="C30">
        <v>79.8</v>
      </c>
      <c r="D30">
        <v>51.98</v>
      </c>
      <c r="E30">
        <v>20</v>
      </c>
      <c r="F30">
        <v>20</v>
      </c>
      <c r="G30">
        <v>96</v>
      </c>
      <c r="H30">
        <v>44062</v>
      </c>
      <c r="I30">
        <v>14</v>
      </c>
      <c r="J30" t="s">
        <v>133</v>
      </c>
      <c r="K30" t="s">
        <v>12</v>
      </c>
    </row>
    <row r="31" spans="1:11" x14ac:dyDescent="0.3">
      <c r="A31" s="65">
        <v>46233</v>
      </c>
      <c r="B31" t="s">
        <v>82</v>
      </c>
      <c r="C31">
        <v>13.5</v>
      </c>
      <c r="D31">
        <v>51.09</v>
      </c>
      <c r="E31">
        <v>20</v>
      </c>
      <c r="F31">
        <v>20</v>
      </c>
      <c r="G31">
        <v>51</v>
      </c>
      <c r="H31">
        <v>45579</v>
      </c>
      <c r="I31">
        <v>7</v>
      </c>
      <c r="J31" t="s">
        <v>48</v>
      </c>
      <c r="K31" t="s">
        <v>12</v>
      </c>
    </row>
    <row r="32" spans="1:11" x14ac:dyDescent="0.3">
      <c r="A32" s="65">
        <v>46233</v>
      </c>
      <c r="B32" t="s">
        <v>82</v>
      </c>
      <c r="C32">
        <v>37.1</v>
      </c>
      <c r="D32">
        <v>51.91</v>
      </c>
      <c r="E32">
        <v>20</v>
      </c>
      <c r="F32">
        <v>20</v>
      </c>
      <c r="G32">
        <v>54</v>
      </c>
      <c r="H32">
        <v>46394</v>
      </c>
      <c r="I32">
        <v>6</v>
      </c>
      <c r="J32" t="s">
        <v>48</v>
      </c>
      <c r="K32" t="s">
        <v>12</v>
      </c>
    </row>
    <row r="33" spans="1:11" x14ac:dyDescent="0.3">
      <c r="A33" s="65">
        <v>46233</v>
      </c>
      <c r="B33" t="s">
        <v>206</v>
      </c>
      <c r="C33">
        <v>19.13</v>
      </c>
      <c r="D33">
        <v>34.520000000000003</v>
      </c>
      <c r="E33">
        <v>20</v>
      </c>
      <c r="F33">
        <v>0</v>
      </c>
      <c r="G33">
        <v>10</v>
      </c>
      <c r="H33">
        <v>0</v>
      </c>
      <c r="I33">
        <v>40</v>
      </c>
      <c r="J33" t="s">
        <v>48</v>
      </c>
      <c r="K33" t="s">
        <v>11</v>
      </c>
    </row>
    <row r="34" spans="1:11" x14ac:dyDescent="0.3">
      <c r="A34" s="65">
        <v>46233</v>
      </c>
      <c r="B34" t="s">
        <v>207</v>
      </c>
      <c r="C34">
        <v>-0.88</v>
      </c>
      <c r="D34">
        <v>18.059999999999999</v>
      </c>
      <c r="E34">
        <v>20</v>
      </c>
      <c r="F34">
        <v>0</v>
      </c>
      <c r="G34">
        <v>10</v>
      </c>
      <c r="H34">
        <v>0</v>
      </c>
      <c r="I34">
        <v>40</v>
      </c>
      <c r="J34" t="s">
        <v>48</v>
      </c>
      <c r="K34" t="s">
        <v>11</v>
      </c>
    </row>
    <row r="35" spans="1:11" x14ac:dyDescent="0.3">
      <c r="A35" s="65">
        <v>46233</v>
      </c>
      <c r="B35" t="s">
        <v>82</v>
      </c>
      <c r="C35">
        <v>4.5999999999999996</v>
      </c>
      <c r="D35">
        <v>52.07</v>
      </c>
      <c r="E35">
        <v>20</v>
      </c>
      <c r="F35">
        <v>20</v>
      </c>
      <c r="G35">
        <v>34</v>
      </c>
      <c r="H35">
        <v>48221</v>
      </c>
      <c r="I35">
        <v>3</v>
      </c>
      <c r="J35" t="s">
        <v>48</v>
      </c>
      <c r="K35" t="s">
        <v>12</v>
      </c>
    </row>
    <row r="36" spans="1:11" x14ac:dyDescent="0.3">
      <c r="A36" s="65">
        <v>46233</v>
      </c>
      <c r="B36" t="s">
        <v>206</v>
      </c>
      <c r="C36">
        <v>13.29</v>
      </c>
      <c r="D36">
        <v>36.49</v>
      </c>
      <c r="E36">
        <v>20</v>
      </c>
      <c r="F36">
        <v>0</v>
      </c>
      <c r="G36">
        <v>10</v>
      </c>
      <c r="H36">
        <v>0</v>
      </c>
      <c r="I36">
        <v>40</v>
      </c>
      <c r="J36" t="s">
        <v>48</v>
      </c>
      <c r="K36" t="s">
        <v>11</v>
      </c>
    </row>
    <row r="37" spans="1:11" x14ac:dyDescent="0.3">
      <c r="A37" s="65">
        <v>46233</v>
      </c>
      <c r="B37" t="s">
        <v>207</v>
      </c>
      <c r="C37">
        <v>0.71</v>
      </c>
      <c r="D37">
        <v>22</v>
      </c>
      <c r="E37">
        <v>20</v>
      </c>
      <c r="F37">
        <v>0</v>
      </c>
      <c r="G37">
        <v>10</v>
      </c>
      <c r="H37">
        <v>0</v>
      </c>
      <c r="I37">
        <v>40</v>
      </c>
      <c r="J37" t="s">
        <v>48</v>
      </c>
      <c r="K37" t="s">
        <v>11</v>
      </c>
    </row>
    <row r="38" spans="1:11" x14ac:dyDescent="0.3">
      <c r="A38" s="65">
        <v>46233</v>
      </c>
      <c r="B38" t="s">
        <v>82</v>
      </c>
      <c r="C38">
        <v>27</v>
      </c>
      <c r="D38">
        <v>52.67</v>
      </c>
      <c r="E38">
        <v>20</v>
      </c>
      <c r="F38">
        <v>20</v>
      </c>
      <c r="G38">
        <v>36</v>
      </c>
      <c r="H38">
        <v>48481</v>
      </c>
      <c r="I38">
        <v>5</v>
      </c>
      <c r="J38" t="s">
        <v>48</v>
      </c>
      <c r="K38" t="s">
        <v>12</v>
      </c>
    </row>
    <row r="39" spans="1:11" x14ac:dyDescent="0.3">
      <c r="A39" s="65">
        <v>46233</v>
      </c>
      <c r="B39" t="s">
        <v>206</v>
      </c>
      <c r="C39">
        <v>17.190000000000001</v>
      </c>
      <c r="D39">
        <v>34.79</v>
      </c>
      <c r="E39">
        <v>20</v>
      </c>
      <c r="F39">
        <v>0</v>
      </c>
      <c r="G39">
        <v>10</v>
      </c>
      <c r="H39">
        <v>0</v>
      </c>
      <c r="I39">
        <v>40</v>
      </c>
      <c r="J39" t="s">
        <v>48</v>
      </c>
      <c r="K39" t="s">
        <v>11</v>
      </c>
    </row>
    <row r="40" spans="1:11" x14ac:dyDescent="0.3">
      <c r="A40" s="65">
        <v>46233</v>
      </c>
      <c r="B40" t="s">
        <v>207</v>
      </c>
      <c r="C40">
        <v>0.87</v>
      </c>
      <c r="D40">
        <v>14.41</v>
      </c>
      <c r="E40">
        <v>20</v>
      </c>
      <c r="F40">
        <v>0</v>
      </c>
      <c r="G40">
        <v>10</v>
      </c>
      <c r="H40">
        <v>0</v>
      </c>
      <c r="I40">
        <v>40</v>
      </c>
      <c r="J40" t="s">
        <v>48</v>
      </c>
      <c r="K40" t="s">
        <v>11</v>
      </c>
    </row>
    <row r="41" spans="1:11" x14ac:dyDescent="0.3">
      <c r="A41" s="65">
        <v>46233</v>
      </c>
      <c r="B41" t="s">
        <v>206</v>
      </c>
      <c r="C41">
        <v>13.35</v>
      </c>
      <c r="D41">
        <v>34.270000000000003</v>
      </c>
      <c r="E41">
        <v>20</v>
      </c>
      <c r="F41">
        <v>0</v>
      </c>
      <c r="G41">
        <v>10</v>
      </c>
      <c r="H41">
        <v>0</v>
      </c>
      <c r="I41">
        <v>40</v>
      </c>
      <c r="J41" t="s">
        <v>48</v>
      </c>
      <c r="K41" t="s">
        <v>11</v>
      </c>
    </row>
    <row r="42" spans="1:11" x14ac:dyDescent="0.3">
      <c r="A42" s="65">
        <v>46233</v>
      </c>
      <c r="B42" t="s">
        <v>207</v>
      </c>
      <c r="C42">
        <v>0.43</v>
      </c>
      <c r="D42">
        <v>17.73</v>
      </c>
      <c r="E42">
        <v>20</v>
      </c>
      <c r="F42">
        <v>0</v>
      </c>
      <c r="G42">
        <v>10</v>
      </c>
      <c r="H42">
        <v>0</v>
      </c>
      <c r="I42">
        <v>40</v>
      </c>
      <c r="J42" t="s">
        <v>48</v>
      </c>
      <c r="K42" t="s">
        <v>11</v>
      </c>
    </row>
    <row r="43" spans="1:11" x14ac:dyDescent="0.3">
      <c r="A43" s="65">
        <v>46233</v>
      </c>
      <c r="B43" t="s">
        <v>206</v>
      </c>
      <c r="C43">
        <v>13.35</v>
      </c>
      <c r="D43">
        <v>34.270000000000003</v>
      </c>
      <c r="E43">
        <v>20</v>
      </c>
      <c r="F43">
        <v>0</v>
      </c>
      <c r="G43">
        <v>10</v>
      </c>
      <c r="H43">
        <v>0</v>
      </c>
      <c r="I43">
        <v>40</v>
      </c>
      <c r="J43" t="s">
        <v>48</v>
      </c>
      <c r="K43" t="s">
        <v>11</v>
      </c>
    </row>
    <row r="44" spans="1:11" x14ac:dyDescent="0.3">
      <c r="A44" s="65">
        <v>46233</v>
      </c>
      <c r="B44" t="s">
        <v>207</v>
      </c>
      <c r="C44">
        <v>0.43</v>
      </c>
      <c r="D44">
        <v>17.73</v>
      </c>
      <c r="E44">
        <v>20</v>
      </c>
      <c r="F44">
        <v>0</v>
      </c>
      <c r="G44">
        <v>10</v>
      </c>
      <c r="H44">
        <v>0</v>
      </c>
      <c r="I44">
        <v>40</v>
      </c>
      <c r="J44" t="s">
        <v>48</v>
      </c>
      <c r="K44" t="s">
        <v>11</v>
      </c>
    </row>
    <row r="45" spans="1:11" x14ac:dyDescent="0.3">
      <c r="A45" s="65">
        <v>46233</v>
      </c>
      <c r="B45" t="s">
        <v>206</v>
      </c>
      <c r="C45">
        <v>13.35</v>
      </c>
      <c r="D45">
        <v>34.270000000000003</v>
      </c>
      <c r="E45">
        <v>20</v>
      </c>
      <c r="F45">
        <v>0</v>
      </c>
      <c r="G45">
        <v>10</v>
      </c>
      <c r="H45">
        <v>0</v>
      </c>
      <c r="I45">
        <v>40</v>
      </c>
      <c r="J45" t="s">
        <v>48</v>
      </c>
      <c r="K45" t="s">
        <v>11</v>
      </c>
    </row>
    <row r="46" spans="1:11" x14ac:dyDescent="0.3">
      <c r="A46" s="65">
        <v>46233</v>
      </c>
      <c r="B46" t="s">
        <v>207</v>
      </c>
      <c r="C46">
        <v>0.43</v>
      </c>
      <c r="D46">
        <v>17.73</v>
      </c>
      <c r="E46">
        <v>20</v>
      </c>
      <c r="F46">
        <v>0</v>
      </c>
      <c r="G46">
        <v>10</v>
      </c>
      <c r="H46">
        <v>0</v>
      </c>
      <c r="I46">
        <v>40</v>
      </c>
      <c r="J46" t="s">
        <v>48</v>
      </c>
      <c r="K46" t="s">
        <v>11</v>
      </c>
    </row>
    <row r="47" spans="1:11" x14ac:dyDescent="0.3">
      <c r="A47" s="65">
        <v>46232</v>
      </c>
      <c r="B47" t="s">
        <v>82</v>
      </c>
      <c r="C47">
        <v>42.7</v>
      </c>
      <c r="D47">
        <v>50</v>
      </c>
      <c r="E47">
        <v>20</v>
      </c>
      <c r="F47">
        <v>20</v>
      </c>
      <c r="G47">
        <v>35</v>
      </c>
      <c r="H47">
        <v>8244</v>
      </c>
      <c r="I47">
        <v>5</v>
      </c>
      <c r="J47" t="s">
        <v>48</v>
      </c>
      <c r="K47" t="s">
        <v>12</v>
      </c>
    </row>
    <row r="48" spans="1:11" x14ac:dyDescent="0.3">
      <c r="A48" s="65">
        <v>46232</v>
      </c>
      <c r="B48" t="s">
        <v>82</v>
      </c>
      <c r="C48">
        <v>65.2</v>
      </c>
      <c r="D48">
        <v>50.42</v>
      </c>
      <c r="E48">
        <v>20</v>
      </c>
      <c r="F48">
        <v>20</v>
      </c>
      <c r="G48">
        <v>41</v>
      </c>
      <c r="H48">
        <v>9076</v>
      </c>
      <c r="I48">
        <v>6</v>
      </c>
      <c r="J48" t="s">
        <v>48</v>
      </c>
      <c r="K48" t="s">
        <v>12</v>
      </c>
    </row>
    <row r="49" spans="1:11" x14ac:dyDescent="0.3">
      <c r="A49" s="65">
        <v>46232</v>
      </c>
      <c r="B49" t="s">
        <v>82</v>
      </c>
      <c r="C49">
        <v>1.1000000000000001</v>
      </c>
      <c r="D49">
        <v>50.26</v>
      </c>
      <c r="E49">
        <v>20</v>
      </c>
      <c r="F49">
        <v>20</v>
      </c>
      <c r="G49">
        <v>36</v>
      </c>
      <c r="H49">
        <v>9811</v>
      </c>
      <c r="I49">
        <v>4</v>
      </c>
      <c r="J49" t="s">
        <v>48</v>
      </c>
      <c r="K49" t="s">
        <v>12</v>
      </c>
    </row>
    <row r="50" spans="1:11" x14ac:dyDescent="0.3">
      <c r="A50" s="65">
        <v>46232</v>
      </c>
      <c r="B50" t="s">
        <v>82</v>
      </c>
      <c r="C50">
        <v>78</v>
      </c>
      <c r="D50">
        <v>48.48</v>
      </c>
      <c r="E50">
        <v>20</v>
      </c>
      <c r="F50">
        <v>20</v>
      </c>
      <c r="G50">
        <v>44</v>
      </c>
      <c r="H50">
        <v>12311</v>
      </c>
      <c r="I50">
        <v>13</v>
      </c>
      <c r="J50" t="s">
        <v>133</v>
      </c>
      <c r="K50" t="s">
        <v>12</v>
      </c>
    </row>
    <row r="51" spans="1:11" x14ac:dyDescent="0.3">
      <c r="A51" s="65">
        <v>46232</v>
      </c>
      <c r="B51" t="s">
        <v>82</v>
      </c>
      <c r="C51">
        <v>100</v>
      </c>
      <c r="D51">
        <v>48.28</v>
      </c>
      <c r="E51">
        <v>20</v>
      </c>
      <c r="F51">
        <v>20</v>
      </c>
      <c r="G51">
        <v>55</v>
      </c>
      <c r="H51">
        <v>21022</v>
      </c>
      <c r="I51">
        <v>20</v>
      </c>
      <c r="J51" t="s">
        <v>2</v>
      </c>
      <c r="K51" t="s">
        <v>12</v>
      </c>
    </row>
    <row r="52" spans="1:11" x14ac:dyDescent="0.3">
      <c r="A52" s="65">
        <v>46232</v>
      </c>
      <c r="B52" t="s">
        <v>82</v>
      </c>
      <c r="C52">
        <v>98.1</v>
      </c>
      <c r="D52">
        <v>51.6</v>
      </c>
      <c r="E52">
        <v>20</v>
      </c>
      <c r="F52">
        <v>20</v>
      </c>
      <c r="G52">
        <v>89</v>
      </c>
      <c r="H52">
        <v>25381</v>
      </c>
      <c r="I52">
        <v>23</v>
      </c>
      <c r="J52" t="s">
        <v>2</v>
      </c>
      <c r="K52" t="s">
        <v>12</v>
      </c>
    </row>
    <row r="53" spans="1:11" x14ac:dyDescent="0.3">
      <c r="A53" s="65">
        <v>46232</v>
      </c>
      <c r="B53" t="s">
        <v>82</v>
      </c>
      <c r="C53">
        <v>28.1</v>
      </c>
      <c r="D53">
        <v>51.07</v>
      </c>
      <c r="E53">
        <v>20</v>
      </c>
      <c r="F53">
        <v>20</v>
      </c>
      <c r="G53">
        <v>58</v>
      </c>
      <c r="H53">
        <v>41163</v>
      </c>
      <c r="I53">
        <v>9</v>
      </c>
      <c r="J53" t="s">
        <v>48</v>
      </c>
      <c r="K53" t="s">
        <v>12</v>
      </c>
    </row>
    <row r="54" spans="1:11" x14ac:dyDescent="0.3">
      <c r="A54" s="65">
        <v>46232</v>
      </c>
      <c r="B54" t="s">
        <v>82</v>
      </c>
      <c r="C54">
        <v>19.3</v>
      </c>
      <c r="D54">
        <v>50.66</v>
      </c>
      <c r="E54">
        <v>20</v>
      </c>
      <c r="F54">
        <v>20</v>
      </c>
      <c r="G54">
        <v>35</v>
      </c>
      <c r="H54">
        <v>41692</v>
      </c>
      <c r="I54">
        <v>4</v>
      </c>
      <c r="J54" t="s">
        <v>48</v>
      </c>
      <c r="K54" t="s">
        <v>12</v>
      </c>
    </row>
    <row r="55" spans="1:11" x14ac:dyDescent="0.3">
      <c r="A55" s="65">
        <v>46232</v>
      </c>
      <c r="B55" t="s">
        <v>206</v>
      </c>
      <c r="C55">
        <v>23.13</v>
      </c>
      <c r="D55">
        <v>36.520000000000003</v>
      </c>
      <c r="E55">
        <v>20</v>
      </c>
      <c r="F55">
        <v>0</v>
      </c>
      <c r="G55">
        <v>10</v>
      </c>
      <c r="H55">
        <v>0</v>
      </c>
      <c r="I55">
        <v>40</v>
      </c>
      <c r="J55" t="s">
        <v>48</v>
      </c>
      <c r="K55" t="s">
        <v>11</v>
      </c>
    </row>
    <row r="56" spans="1:11" x14ac:dyDescent="0.3">
      <c r="A56" s="65">
        <v>46232</v>
      </c>
      <c r="B56" t="s">
        <v>207</v>
      </c>
      <c r="C56">
        <v>3.12</v>
      </c>
      <c r="D56">
        <v>20.059999999999999</v>
      </c>
      <c r="E56">
        <v>20</v>
      </c>
      <c r="F56">
        <v>0</v>
      </c>
      <c r="G56">
        <v>10</v>
      </c>
      <c r="H56">
        <v>0</v>
      </c>
      <c r="I56">
        <v>40</v>
      </c>
      <c r="J56" t="s">
        <v>48</v>
      </c>
      <c r="K56" t="s">
        <v>11</v>
      </c>
    </row>
    <row r="57" spans="1:11" x14ac:dyDescent="0.3">
      <c r="A57" s="65">
        <v>46232</v>
      </c>
      <c r="B57" t="s">
        <v>206</v>
      </c>
      <c r="C57">
        <v>16.14</v>
      </c>
      <c r="D57">
        <v>37.18</v>
      </c>
      <c r="E57">
        <v>20</v>
      </c>
      <c r="F57">
        <v>0</v>
      </c>
      <c r="G57">
        <v>10</v>
      </c>
      <c r="H57">
        <v>0</v>
      </c>
      <c r="I57">
        <v>40</v>
      </c>
      <c r="J57" t="s">
        <v>48</v>
      </c>
      <c r="K57" t="s">
        <v>11</v>
      </c>
    </row>
    <row r="58" spans="1:11" x14ac:dyDescent="0.3">
      <c r="A58" s="65">
        <v>46232</v>
      </c>
      <c r="B58" t="s">
        <v>207</v>
      </c>
      <c r="C58">
        <v>2.54</v>
      </c>
      <c r="D58">
        <v>23.04</v>
      </c>
      <c r="E58">
        <v>20</v>
      </c>
      <c r="F58">
        <v>0</v>
      </c>
      <c r="G58">
        <v>10</v>
      </c>
      <c r="H58">
        <v>0</v>
      </c>
      <c r="I58">
        <v>40</v>
      </c>
      <c r="J58" t="s">
        <v>48</v>
      </c>
      <c r="K58" t="s">
        <v>11</v>
      </c>
    </row>
    <row r="59" spans="1:11" x14ac:dyDescent="0.3">
      <c r="A59" s="65">
        <v>46232</v>
      </c>
      <c r="B59" t="s">
        <v>206</v>
      </c>
      <c r="C59">
        <v>17.350000000000001</v>
      </c>
      <c r="D59">
        <v>36.270000000000003</v>
      </c>
      <c r="E59">
        <v>20</v>
      </c>
      <c r="F59">
        <v>0</v>
      </c>
      <c r="G59">
        <v>10</v>
      </c>
      <c r="H59">
        <v>0</v>
      </c>
      <c r="I59">
        <v>40</v>
      </c>
      <c r="J59" t="s">
        <v>48</v>
      </c>
      <c r="K59" t="s">
        <v>11</v>
      </c>
    </row>
    <row r="60" spans="1:11" x14ac:dyDescent="0.3">
      <c r="A60" s="65">
        <v>46232</v>
      </c>
      <c r="B60" t="s">
        <v>207</v>
      </c>
      <c r="C60">
        <v>4.43</v>
      </c>
      <c r="D60">
        <v>19.73</v>
      </c>
      <c r="E60">
        <v>20</v>
      </c>
      <c r="F60">
        <v>0</v>
      </c>
      <c r="G60">
        <v>10</v>
      </c>
      <c r="H60">
        <v>0</v>
      </c>
      <c r="I60">
        <v>40</v>
      </c>
      <c r="J60" t="s">
        <v>48</v>
      </c>
      <c r="K60" t="s">
        <v>11</v>
      </c>
    </row>
    <row r="61" spans="1:11" x14ac:dyDescent="0.3">
      <c r="A61" s="65">
        <v>46232</v>
      </c>
      <c r="B61" t="s">
        <v>206</v>
      </c>
      <c r="C61">
        <v>17.350000000000001</v>
      </c>
      <c r="D61">
        <v>36.270000000000003</v>
      </c>
      <c r="E61">
        <v>20</v>
      </c>
      <c r="F61">
        <v>0</v>
      </c>
      <c r="G61">
        <v>10</v>
      </c>
      <c r="H61">
        <v>0</v>
      </c>
      <c r="I61">
        <v>40</v>
      </c>
      <c r="J61" t="s">
        <v>48</v>
      </c>
      <c r="K61" t="s">
        <v>11</v>
      </c>
    </row>
    <row r="62" spans="1:11" x14ac:dyDescent="0.3">
      <c r="A62" s="65">
        <v>46232</v>
      </c>
      <c r="B62" t="s">
        <v>207</v>
      </c>
      <c r="C62">
        <v>4.43</v>
      </c>
      <c r="D62">
        <v>19.73</v>
      </c>
      <c r="E62">
        <v>20</v>
      </c>
      <c r="F62">
        <v>0</v>
      </c>
      <c r="G62">
        <v>10</v>
      </c>
      <c r="H62">
        <v>0</v>
      </c>
      <c r="I62">
        <v>40</v>
      </c>
      <c r="J62" t="s">
        <v>48</v>
      </c>
      <c r="K62" t="s">
        <v>11</v>
      </c>
    </row>
    <row r="63" spans="1:11" x14ac:dyDescent="0.3">
      <c r="A63" s="65">
        <v>46232</v>
      </c>
      <c r="B63" t="s">
        <v>206</v>
      </c>
      <c r="C63">
        <v>17.350000000000001</v>
      </c>
      <c r="D63">
        <v>36.270000000000003</v>
      </c>
      <c r="E63">
        <v>20</v>
      </c>
      <c r="F63">
        <v>0</v>
      </c>
      <c r="G63">
        <v>10</v>
      </c>
      <c r="H63">
        <v>0</v>
      </c>
      <c r="I63">
        <v>40</v>
      </c>
      <c r="J63" t="s">
        <v>48</v>
      </c>
      <c r="K63" t="s">
        <v>11</v>
      </c>
    </row>
    <row r="64" spans="1:11" x14ac:dyDescent="0.3">
      <c r="A64" s="65">
        <v>46232</v>
      </c>
      <c r="B64" t="s">
        <v>207</v>
      </c>
      <c r="C64">
        <v>4.43</v>
      </c>
      <c r="D64">
        <v>19.73</v>
      </c>
      <c r="E64">
        <v>20</v>
      </c>
      <c r="F64">
        <v>0</v>
      </c>
      <c r="G64">
        <v>10</v>
      </c>
      <c r="H64">
        <v>0</v>
      </c>
      <c r="I64">
        <v>40</v>
      </c>
      <c r="J64" t="s">
        <v>48</v>
      </c>
      <c r="K64" t="s">
        <v>11</v>
      </c>
    </row>
    <row r="65" spans="1:11" x14ac:dyDescent="0.3">
      <c r="A65" s="65">
        <v>46231</v>
      </c>
      <c r="B65" t="s">
        <v>82</v>
      </c>
      <c r="C65">
        <v>17.600000000000001</v>
      </c>
      <c r="D65">
        <v>87.45</v>
      </c>
      <c r="E65">
        <v>20</v>
      </c>
      <c r="F65">
        <v>20</v>
      </c>
      <c r="G65">
        <v>51</v>
      </c>
      <c r="H65">
        <v>375359</v>
      </c>
      <c r="I65">
        <v>4</v>
      </c>
      <c r="J65" t="s">
        <v>133</v>
      </c>
      <c r="K65" t="s">
        <v>12</v>
      </c>
    </row>
    <row r="66" spans="1:11" x14ac:dyDescent="0.3">
      <c r="A66" s="65">
        <v>46231</v>
      </c>
      <c r="B66" t="s">
        <v>82</v>
      </c>
      <c r="C66">
        <v>6.7</v>
      </c>
      <c r="D66">
        <v>86.82</v>
      </c>
      <c r="E66">
        <v>20</v>
      </c>
      <c r="F66">
        <v>20</v>
      </c>
      <c r="G66">
        <v>53</v>
      </c>
      <c r="H66">
        <v>375894</v>
      </c>
      <c r="I66">
        <v>4</v>
      </c>
      <c r="J66" t="s">
        <v>133</v>
      </c>
      <c r="K66" t="s">
        <v>12</v>
      </c>
    </row>
    <row r="67" spans="1:11" x14ac:dyDescent="0.3">
      <c r="A67" s="65">
        <v>46231</v>
      </c>
      <c r="B67" t="s">
        <v>82</v>
      </c>
      <c r="C67">
        <v>12.5</v>
      </c>
      <c r="D67">
        <v>86.56</v>
      </c>
      <c r="E67">
        <v>20</v>
      </c>
      <c r="F67">
        <v>20</v>
      </c>
      <c r="G67">
        <v>46</v>
      </c>
      <c r="H67">
        <v>376386</v>
      </c>
      <c r="I67">
        <v>5</v>
      </c>
      <c r="J67" t="s">
        <v>133</v>
      </c>
      <c r="K67" t="s">
        <v>12</v>
      </c>
    </row>
    <row r="68" spans="1:11" x14ac:dyDescent="0.3">
      <c r="A68" s="65">
        <v>46231</v>
      </c>
      <c r="B68" t="s">
        <v>82</v>
      </c>
      <c r="C68">
        <v>31.6</v>
      </c>
      <c r="D68">
        <v>46.11</v>
      </c>
      <c r="E68">
        <v>20</v>
      </c>
      <c r="F68">
        <v>20</v>
      </c>
      <c r="G68">
        <v>43</v>
      </c>
      <c r="H68">
        <v>391</v>
      </c>
      <c r="I68">
        <v>3</v>
      </c>
      <c r="J68" t="s">
        <v>48</v>
      </c>
      <c r="K68" t="s">
        <v>12</v>
      </c>
    </row>
    <row r="69" spans="1:11" x14ac:dyDescent="0.3">
      <c r="A69" s="65">
        <v>46231</v>
      </c>
      <c r="B69" t="s">
        <v>82</v>
      </c>
      <c r="C69">
        <v>51.7</v>
      </c>
      <c r="D69">
        <v>45.98</v>
      </c>
      <c r="E69">
        <v>20</v>
      </c>
      <c r="F69">
        <v>20</v>
      </c>
      <c r="G69">
        <v>50</v>
      </c>
      <c r="H69">
        <v>1603</v>
      </c>
      <c r="I69">
        <v>7</v>
      </c>
      <c r="J69" t="s">
        <v>48</v>
      </c>
      <c r="K69" t="s">
        <v>12</v>
      </c>
    </row>
    <row r="70" spans="1:11" x14ac:dyDescent="0.3">
      <c r="A70" s="65">
        <v>46231</v>
      </c>
      <c r="B70" t="s">
        <v>82</v>
      </c>
      <c r="C70">
        <v>23.1</v>
      </c>
      <c r="D70">
        <v>47.1</v>
      </c>
      <c r="E70">
        <v>20</v>
      </c>
      <c r="F70">
        <v>20</v>
      </c>
      <c r="G70">
        <v>47</v>
      </c>
      <c r="H70">
        <v>4039</v>
      </c>
      <c r="I70">
        <v>5</v>
      </c>
      <c r="J70" t="s">
        <v>48</v>
      </c>
      <c r="K70" t="s">
        <v>12</v>
      </c>
    </row>
    <row r="71" spans="1:11" x14ac:dyDescent="0.3">
      <c r="A71" s="65">
        <v>46231</v>
      </c>
      <c r="B71" t="s">
        <v>82</v>
      </c>
      <c r="C71">
        <v>15.9</v>
      </c>
      <c r="D71">
        <v>48.19</v>
      </c>
      <c r="E71">
        <v>20</v>
      </c>
      <c r="F71">
        <v>20</v>
      </c>
      <c r="G71">
        <v>137</v>
      </c>
      <c r="H71">
        <v>6904</v>
      </c>
      <c r="I71">
        <v>4</v>
      </c>
      <c r="J71" t="s">
        <v>48</v>
      </c>
      <c r="K71" t="s">
        <v>12</v>
      </c>
    </row>
    <row r="72" spans="1:11" x14ac:dyDescent="0.3">
      <c r="A72" s="65">
        <v>46231</v>
      </c>
      <c r="B72" t="s">
        <v>82</v>
      </c>
      <c r="C72">
        <v>19.100000000000001</v>
      </c>
      <c r="D72">
        <v>45.99</v>
      </c>
      <c r="E72">
        <v>20</v>
      </c>
      <c r="F72">
        <v>20</v>
      </c>
      <c r="G72">
        <v>36</v>
      </c>
      <c r="H72">
        <v>7515</v>
      </c>
      <c r="I72">
        <v>5</v>
      </c>
      <c r="J72" t="s">
        <v>48</v>
      </c>
      <c r="K72" t="s">
        <v>12</v>
      </c>
    </row>
    <row r="73" spans="1:11" x14ac:dyDescent="0.3">
      <c r="A73" s="65">
        <v>46231</v>
      </c>
      <c r="B73" t="s">
        <v>13</v>
      </c>
      <c r="C73">
        <v>18</v>
      </c>
      <c r="D73">
        <v>56</v>
      </c>
      <c r="E73">
        <v>21.47</v>
      </c>
      <c r="F73">
        <v>0</v>
      </c>
      <c r="G73">
        <v>9</v>
      </c>
      <c r="H73">
        <v>0</v>
      </c>
      <c r="I73">
        <v>36</v>
      </c>
      <c r="J73" t="s">
        <v>48</v>
      </c>
      <c r="K73" t="s">
        <v>13</v>
      </c>
    </row>
    <row r="74" spans="1:11" x14ac:dyDescent="0.3">
      <c r="A74" s="65">
        <v>46231</v>
      </c>
      <c r="B74" t="s">
        <v>13</v>
      </c>
      <c r="C74">
        <v>16</v>
      </c>
      <c r="D74">
        <v>51</v>
      </c>
      <c r="E74">
        <v>21.43</v>
      </c>
      <c r="F74">
        <v>0</v>
      </c>
      <c r="G74">
        <v>7</v>
      </c>
      <c r="H74">
        <v>0</v>
      </c>
      <c r="I74">
        <v>47</v>
      </c>
      <c r="J74" t="s">
        <v>48</v>
      </c>
      <c r="K74" t="s">
        <v>13</v>
      </c>
    </row>
    <row r="75" spans="1:11" x14ac:dyDescent="0.3">
      <c r="A75" s="65">
        <v>46231</v>
      </c>
      <c r="B75" t="s">
        <v>206</v>
      </c>
      <c r="C75">
        <v>22.13</v>
      </c>
      <c r="D75">
        <v>36.020000000000003</v>
      </c>
      <c r="E75">
        <v>20</v>
      </c>
      <c r="F75">
        <v>0</v>
      </c>
      <c r="G75">
        <v>10</v>
      </c>
      <c r="H75">
        <v>0</v>
      </c>
      <c r="I75">
        <v>40</v>
      </c>
      <c r="J75" t="s">
        <v>48</v>
      </c>
      <c r="K75" t="s">
        <v>11</v>
      </c>
    </row>
    <row r="76" spans="1:11" x14ac:dyDescent="0.3">
      <c r="A76" s="65">
        <v>46231</v>
      </c>
      <c r="B76" t="s">
        <v>207</v>
      </c>
      <c r="C76">
        <v>2.12</v>
      </c>
      <c r="D76">
        <v>19.559999999999999</v>
      </c>
      <c r="E76">
        <v>20</v>
      </c>
      <c r="F76">
        <v>0</v>
      </c>
      <c r="G76">
        <v>10</v>
      </c>
      <c r="H76">
        <v>0</v>
      </c>
      <c r="I76">
        <v>40</v>
      </c>
      <c r="J76" t="s">
        <v>48</v>
      </c>
      <c r="K76" t="s">
        <v>11</v>
      </c>
    </row>
    <row r="77" spans="1:11" x14ac:dyDescent="0.3">
      <c r="A77" s="65">
        <v>46231</v>
      </c>
      <c r="B77" t="s">
        <v>206</v>
      </c>
      <c r="C77">
        <v>15.14</v>
      </c>
      <c r="D77">
        <v>36.68</v>
      </c>
      <c r="E77">
        <v>20</v>
      </c>
      <c r="F77">
        <v>0</v>
      </c>
      <c r="G77">
        <v>10</v>
      </c>
      <c r="H77">
        <v>0</v>
      </c>
      <c r="I77">
        <v>40</v>
      </c>
      <c r="J77" t="s">
        <v>48</v>
      </c>
      <c r="K77" t="s">
        <v>11</v>
      </c>
    </row>
    <row r="78" spans="1:11" x14ac:dyDescent="0.3">
      <c r="A78" s="65">
        <v>46231</v>
      </c>
      <c r="B78" t="s">
        <v>207</v>
      </c>
      <c r="C78">
        <v>1.54</v>
      </c>
      <c r="D78">
        <v>22.54</v>
      </c>
      <c r="E78">
        <v>20</v>
      </c>
      <c r="F78">
        <v>0</v>
      </c>
      <c r="G78">
        <v>10</v>
      </c>
      <c r="H78">
        <v>0</v>
      </c>
      <c r="I78">
        <v>40</v>
      </c>
      <c r="J78" t="s">
        <v>48</v>
      </c>
      <c r="K78" t="s">
        <v>11</v>
      </c>
    </row>
    <row r="79" spans="1:11" x14ac:dyDescent="0.3">
      <c r="A79" s="65">
        <v>46231</v>
      </c>
      <c r="B79" t="s">
        <v>206</v>
      </c>
      <c r="C79">
        <v>16.350000000000001</v>
      </c>
      <c r="D79">
        <v>35.770000000000003</v>
      </c>
      <c r="E79">
        <v>20</v>
      </c>
      <c r="F79">
        <v>0</v>
      </c>
      <c r="G79">
        <v>10</v>
      </c>
      <c r="H79">
        <v>0</v>
      </c>
      <c r="I79">
        <v>40</v>
      </c>
      <c r="J79" t="s">
        <v>48</v>
      </c>
      <c r="K79" t="s">
        <v>11</v>
      </c>
    </row>
    <row r="80" spans="1:11" x14ac:dyDescent="0.3">
      <c r="A80" s="65">
        <v>46231</v>
      </c>
      <c r="B80" t="s">
        <v>207</v>
      </c>
      <c r="C80">
        <v>3.43</v>
      </c>
      <c r="D80">
        <v>19.23</v>
      </c>
      <c r="E80">
        <v>20</v>
      </c>
      <c r="F80">
        <v>0</v>
      </c>
      <c r="G80">
        <v>10</v>
      </c>
      <c r="H80">
        <v>0</v>
      </c>
      <c r="I80">
        <v>40</v>
      </c>
      <c r="J80" t="s">
        <v>48</v>
      </c>
      <c r="K80" t="s">
        <v>11</v>
      </c>
    </row>
    <row r="81" spans="1:11" x14ac:dyDescent="0.3">
      <c r="A81" s="65">
        <v>46231</v>
      </c>
      <c r="B81" t="s">
        <v>206</v>
      </c>
      <c r="C81">
        <v>16.350000000000001</v>
      </c>
      <c r="D81">
        <v>35.770000000000003</v>
      </c>
      <c r="E81">
        <v>20</v>
      </c>
      <c r="F81">
        <v>0</v>
      </c>
      <c r="G81">
        <v>10</v>
      </c>
      <c r="H81">
        <v>0</v>
      </c>
      <c r="I81">
        <v>40</v>
      </c>
      <c r="J81" t="s">
        <v>48</v>
      </c>
      <c r="K81" t="s">
        <v>11</v>
      </c>
    </row>
    <row r="82" spans="1:11" x14ac:dyDescent="0.3">
      <c r="A82" s="65">
        <v>46231</v>
      </c>
      <c r="B82" t="s">
        <v>207</v>
      </c>
      <c r="C82">
        <v>3.43</v>
      </c>
      <c r="D82">
        <v>19.23</v>
      </c>
      <c r="E82">
        <v>20</v>
      </c>
      <c r="F82">
        <v>0</v>
      </c>
      <c r="G82">
        <v>10</v>
      </c>
      <c r="H82">
        <v>0</v>
      </c>
      <c r="I82">
        <v>40</v>
      </c>
      <c r="J82" t="s">
        <v>48</v>
      </c>
      <c r="K82" t="s">
        <v>11</v>
      </c>
    </row>
    <row r="83" spans="1:11" x14ac:dyDescent="0.3">
      <c r="A83" s="65">
        <v>46231</v>
      </c>
      <c r="B83" t="s">
        <v>206</v>
      </c>
      <c r="C83">
        <v>16.350000000000001</v>
      </c>
      <c r="D83">
        <v>35.770000000000003</v>
      </c>
      <c r="E83">
        <v>20</v>
      </c>
      <c r="F83">
        <v>0</v>
      </c>
      <c r="G83">
        <v>10</v>
      </c>
      <c r="H83">
        <v>0</v>
      </c>
      <c r="I83">
        <v>40</v>
      </c>
      <c r="J83" t="s">
        <v>48</v>
      </c>
      <c r="K83" t="s">
        <v>11</v>
      </c>
    </row>
    <row r="84" spans="1:11" x14ac:dyDescent="0.3">
      <c r="A84" s="65">
        <v>46231</v>
      </c>
      <c r="B84" t="s">
        <v>207</v>
      </c>
      <c r="C84">
        <v>3.43</v>
      </c>
      <c r="D84">
        <v>19.23</v>
      </c>
      <c r="E84">
        <v>20</v>
      </c>
      <c r="F84">
        <v>0</v>
      </c>
      <c r="G84">
        <v>10</v>
      </c>
      <c r="H84">
        <v>0</v>
      </c>
      <c r="I84">
        <v>40</v>
      </c>
      <c r="J84" t="s">
        <v>48</v>
      </c>
      <c r="K84" t="s">
        <v>11</v>
      </c>
    </row>
    <row r="85" spans="1:11" x14ac:dyDescent="0.3">
      <c r="A85" s="65">
        <v>46230</v>
      </c>
      <c r="B85" t="s">
        <v>82</v>
      </c>
      <c r="C85">
        <v>35.6</v>
      </c>
      <c r="D85">
        <v>89.77</v>
      </c>
      <c r="E85">
        <v>20</v>
      </c>
      <c r="F85">
        <v>20</v>
      </c>
      <c r="G85">
        <v>31</v>
      </c>
      <c r="H85">
        <v>347462</v>
      </c>
      <c r="I85">
        <v>4</v>
      </c>
      <c r="J85" t="s">
        <v>133</v>
      </c>
      <c r="K85" t="s">
        <v>12</v>
      </c>
    </row>
    <row r="86" spans="1:11" x14ac:dyDescent="0.3">
      <c r="A86" s="65">
        <v>46230</v>
      </c>
      <c r="B86" t="s">
        <v>82</v>
      </c>
      <c r="C86">
        <v>30.3</v>
      </c>
      <c r="D86">
        <v>88.86</v>
      </c>
      <c r="E86">
        <v>20</v>
      </c>
      <c r="F86">
        <v>20</v>
      </c>
      <c r="G86">
        <v>34</v>
      </c>
      <c r="H86">
        <v>347641</v>
      </c>
      <c r="I86">
        <v>3</v>
      </c>
      <c r="J86" t="s">
        <v>133</v>
      </c>
      <c r="K86" t="s">
        <v>12</v>
      </c>
    </row>
    <row r="87" spans="1:11" x14ac:dyDescent="0.3">
      <c r="A87" s="65">
        <v>46230</v>
      </c>
      <c r="B87" t="s">
        <v>82</v>
      </c>
      <c r="C87">
        <v>18.399999999999999</v>
      </c>
      <c r="D87">
        <v>90</v>
      </c>
      <c r="E87">
        <v>20</v>
      </c>
      <c r="F87">
        <v>20</v>
      </c>
      <c r="G87">
        <v>32</v>
      </c>
      <c r="H87">
        <v>347813</v>
      </c>
      <c r="I87">
        <v>5</v>
      </c>
      <c r="J87" t="s">
        <v>2</v>
      </c>
      <c r="K87" t="s">
        <v>12</v>
      </c>
    </row>
    <row r="88" spans="1:11" x14ac:dyDescent="0.3">
      <c r="A88" s="65">
        <v>46230</v>
      </c>
      <c r="B88" t="s">
        <v>82</v>
      </c>
      <c r="C88">
        <v>14.9</v>
      </c>
      <c r="D88">
        <v>89.93</v>
      </c>
      <c r="E88">
        <v>20</v>
      </c>
      <c r="F88">
        <v>20</v>
      </c>
      <c r="G88">
        <v>35</v>
      </c>
      <c r="H88">
        <v>347990</v>
      </c>
      <c r="I88">
        <v>7</v>
      </c>
      <c r="J88" t="s">
        <v>133</v>
      </c>
      <c r="K88" t="s">
        <v>12</v>
      </c>
    </row>
    <row r="89" spans="1:11" x14ac:dyDescent="0.3">
      <c r="A89" s="65">
        <v>46230</v>
      </c>
      <c r="B89" t="s">
        <v>82</v>
      </c>
      <c r="C89">
        <v>32.200000000000003</v>
      </c>
      <c r="D89">
        <v>90.1</v>
      </c>
      <c r="E89">
        <v>20</v>
      </c>
      <c r="F89">
        <v>20</v>
      </c>
      <c r="G89">
        <v>34</v>
      </c>
      <c r="H89">
        <v>348191</v>
      </c>
      <c r="I89">
        <v>5</v>
      </c>
      <c r="J89" t="s">
        <v>2</v>
      </c>
      <c r="K89" t="s">
        <v>12</v>
      </c>
    </row>
    <row r="90" spans="1:11" x14ac:dyDescent="0.3">
      <c r="A90" s="65">
        <v>46230</v>
      </c>
      <c r="B90" t="s">
        <v>82</v>
      </c>
      <c r="C90">
        <v>14.4</v>
      </c>
      <c r="D90">
        <v>88.81</v>
      </c>
      <c r="E90">
        <v>20</v>
      </c>
      <c r="F90">
        <v>20</v>
      </c>
      <c r="G90">
        <v>32</v>
      </c>
      <c r="H90">
        <v>348380</v>
      </c>
      <c r="I90">
        <v>6</v>
      </c>
      <c r="J90" t="s">
        <v>133</v>
      </c>
      <c r="K90" t="s">
        <v>12</v>
      </c>
    </row>
    <row r="91" spans="1:11" x14ac:dyDescent="0.3">
      <c r="A91" s="65">
        <v>46230</v>
      </c>
      <c r="B91" t="s">
        <v>82</v>
      </c>
      <c r="C91">
        <v>21.6</v>
      </c>
      <c r="D91">
        <v>88.95</v>
      </c>
      <c r="E91">
        <v>20</v>
      </c>
      <c r="F91">
        <v>20</v>
      </c>
      <c r="G91">
        <v>28</v>
      </c>
      <c r="H91">
        <v>348557</v>
      </c>
      <c r="I91">
        <v>6</v>
      </c>
      <c r="J91" t="s">
        <v>133</v>
      </c>
      <c r="K91" t="s">
        <v>12</v>
      </c>
    </row>
    <row r="92" spans="1:11" x14ac:dyDescent="0.3">
      <c r="A92" s="65">
        <v>46230</v>
      </c>
      <c r="B92" t="s">
        <v>82</v>
      </c>
      <c r="C92">
        <v>13.5</v>
      </c>
      <c r="D92">
        <v>89.79</v>
      </c>
      <c r="E92">
        <v>20</v>
      </c>
      <c r="F92">
        <v>20</v>
      </c>
      <c r="G92">
        <v>41</v>
      </c>
      <c r="H92">
        <v>348891</v>
      </c>
      <c r="I92">
        <v>4</v>
      </c>
      <c r="J92" t="s">
        <v>133</v>
      </c>
      <c r="K92" t="s">
        <v>12</v>
      </c>
    </row>
    <row r="93" spans="1:11" x14ac:dyDescent="0.3">
      <c r="A93" s="65">
        <v>46230</v>
      </c>
      <c r="B93" t="s">
        <v>82</v>
      </c>
      <c r="C93">
        <v>13.5</v>
      </c>
      <c r="D93">
        <v>89.71</v>
      </c>
      <c r="E93">
        <v>20</v>
      </c>
      <c r="F93">
        <v>20</v>
      </c>
      <c r="G93">
        <v>27</v>
      </c>
      <c r="H93">
        <v>349315</v>
      </c>
      <c r="I93">
        <v>3</v>
      </c>
      <c r="J93" t="s">
        <v>133</v>
      </c>
      <c r="K93" t="s">
        <v>12</v>
      </c>
    </row>
    <row r="94" spans="1:11" x14ac:dyDescent="0.3">
      <c r="A94" s="65">
        <v>46230</v>
      </c>
      <c r="B94" t="s">
        <v>82</v>
      </c>
      <c r="C94">
        <v>27.5</v>
      </c>
      <c r="D94">
        <v>89.85</v>
      </c>
      <c r="E94">
        <v>20</v>
      </c>
      <c r="F94">
        <v>20</v>
      </c>
      <c r="G94">
        <v>34</v>
      </c>
      <c r="H94">
        <v>350599</v>
      </c>
      <c r="I94">
        <v>6</v>
      </c>
      <c r="J94" t="s">
        <v>133</v>
      </c>
      <c r="K94" t="s">
        <v>12</v>
      </c>
    </row>
    <row r="95" spans="1:11" x14ac:dyDescent="0.3">
      <c r="A95" s="65">
        <v>46230</v>
      </c>
      <c r="B95" t="s">
        <v>82</v>
      </c>
      <c r="C95">
        <v>100</v>
      </c>
      <c r="D95">
        <v>89.73</v>
      </c>
      <c r="E95">
        <v>20</v>
      </c>
      <c r="F95">
        <v>20</v>
      </c>
      <c r="G95">
        <v>72</v>
      </c>
      <c r="H95">
        <v>355324</v>
      </c>
      <c r="I95">
        <v>19</v>
      </c>
      <c r="J95" t="s">
        <v>2</v>
      </c>
      <c r="K95" t="s">
        <v>12</v>
      </c>
    </row>
    <row r="96" spans="1:11" x14ac:dyDescent="0.3">
      <c r="A96" s="65">
        <v>46230</v>
      </c>
      <c r="B96" t="s">
        <v>82</v>
      </c>
      <c r="C96">
        <v>19.600000000000001</v>
      </c>
      <c r="D96">
        <v>89.55</v>
      </c>
      <c r="E96">
        <v>20</v>
      </c>
      <c r="F96">
        <v>20</v>
      </c>
      <c r="G96">
        <v>65</v>
      </c>
      <c r="H96">
        <v>366332</v>
      </c>
      <c r="I96">
        <v>5</v>
      </c>
      <c r="J96" t="s">
        <v>133</v>
      </c>
      <c r="K96" t="s">
        <v>12</v>
      </c>
    </row>
    <row r="97" spans="1:11" x14ac:dyDescent="0.3">
      <c r="A97" s="65">
        <v>46230</v>
      </c>
      <c r="B97" t="s">
        <v>82</v>
      </c>
      <c r="C97">
        <v>47.8</v>
      </c>
      <c r="D97">
        <v>90.48</v>
      </c>
      <c r="E97">
        <v>20</v>
      </c>
      <c r="F97">
        <v>20</v>
      </c>
      <c r="G97">
        <v>60</v>
      </c>
      <c r="H97">
        <v>374041</v>
      </c>
      <c r="I97">
        <v>6</v>
      </c>
      <c r="J97" t="s">
        <v>2</v>
      </c>
      <c r="K97" t="s">
        <v>12</v>
      </c>
    </row>
    <row r="98" spans="1:11" x14ac:dyDescent="0.3">
      <c r="A98" s="65">
        <v>46230</v>
      </c>
      <c r="B98" t="s">
        <v>82</v>
      </c>
      <c r="C98">
        <v>13.5</v>
      </c>
      <c r="D98">
        <v>89</v>
      </c>
      <c r="E98">
        <v>20</v>
      </c>
      <c r="F98">
        <v>20</v>
      </c>
      <c r="G98">
        <v>58</v>
      </c>
      <c r="H98">
        <v>374662</v>
      </c>
      <c r="I98">
        <v>6</v>
      </c>
      <c r="J98" t="s">
        <v>133</v>
      </c>
      <c r="K98" t="s">
        <v>12</v>
      </c>
    </row>
    <row r="99" spans="1:11" x14ac:dyDescent="0.3">
      <c r="A99" s="65">
        <v>46230</v>
      </c>
      <c r="B99" t="s">
        <v>13</v>
      </c>
      <c r="C99">
        <v>20</v>
      </c>
      <c r="D99">
        <v>53</v>
      </c>
      <c r="E99">
        <v>21.38</v>
      </c>
      <c r="F99">
        <v>0</v>
      </c>
      <c r="G99">
        <v>10</v>
      </c>
      <c r="H99">
        <v>0</v>
      </c>
      <c r="I99">
        <v>31</v>
      </c>
      <c r="J99" t="s">
        <v>48</v>
      </c>
      <c r="K99" t="s">
        <v>13</v>
      </c>
    </row>
    <row r="100" spans="1:11" x14ac:dyDescent="0.3">
      <c r="A100" s="65">
        <v>46230</v>
      </c>
      <c r="B100" t="s">
        <v>206</v>
      </c>
      <c r="C100">
        <v>21.13</v>
      </c>
      <c r="D100">
        <v>35.520000000000003</v>
      </c>
      <c r="E100">
        <v>20</v>
      </c>
      <c r="F100">
        <v>0</v>
      </c>
      <c r="G100">
        <v>10</v>
      </c>
      <c r="H100">
        <v>0</v>
      </c>
      <c r="I100">
        <v>40</v>
      </c>
      <c r="J100" t="s">
        <v>48</v>
      </c>
      <c r="K100" t="s">
        <v>11</v>
      </c>
    </row>
    <row r="101" spans="1:11" x14ac:dyDescent="0.3">
      <c r="A101" s="65">
        <v>46230</v>
      </c>
      <c r="B101" t="s">
        <v>207</v>
      </c>
      <c r="C101">
        <v>1.1200000000000001</v>
      </c>
      <c r="D101">
        <v>19.059999999999999</v>
      </c>
      <c r="E101">
        <v>20</v>
      </c>
      <c r="F101">
        <v>0</v>
      </c>
      <c r="G101">
        <v>10</v>
      </c>
      <c r="H101">
        <v>0</v>
      </c>
      <c r="I101">
        <v>40</v>
      </c>
      <c r="J101" t="s">
        <v>48</v>
      </c>
      <c r="K101" t="s">
        <v>11</v>
      </c>
    </row>
    <row r="102" spans="1:11" x14ac:dyDescent="0.3">
      <c r="A102" s="65">
        <v>46230</v>
      </c>
      <c r="B102" t="s">
        <v>206</v>
      </c>
      <c r="C102">
        <v>14.14</v>
      </c>
      <c r="D102">
        <v>36.18</v>
      </c>
      <c r="E102">
        <v>20</v>
      </c>
      <c r="F102">
        <v>0</v>
      </c>
      <c r="G102">
        <v>10</v>
      </c>
      <c r="H102">
        <v>0</v>
      </c>
      <c r="I102">
        <v>40</v>
      </c>
      <c r="J102" t="s">
        <v>48</v>
      </c>
      <c r="K102" t="s">
        <v>11</v>
      </c>
    </row>
    <row r="103" spans="1:11" x14ac:dyDescent="0.3">
      <c r="A103" s="65">
        <v>46230</v>
      </c>
      <c r="B103" t="s">
        <v>207</v>
      </c>
      <c r="C103">
        <v>0.54</v>
      </c>
      <c r="D103">
        <v>22.04</v>
      </c>
      <c r="E103">
        <v>20</v>
      </c>
      <c r="F103">
        <v>0</v>
      </c>
      <c r="G103">
        <v>10</v>
      </c>
      <c r="H103">
        <v>0</v>
      </c>
      <c r="I103">
        <v>40</v>
      </c>
      <c r="J103" t="s">
        <v>48</v>
      </c>
      <c r="K103" t="s">
        <v>11</v>
      </c>
    </row>
    <row r="104" spans="1:11" x14ac:dyDescent="0.3">
      <c r="A104" s="65">
        <v>46230</v>
      </c>
      <c r="B104" t="s">
        <v>206</v>
      </c>
      <c r="C104">
        <v>15.35</v>
      </c>
      <c r="D104">
        <v>35.270000000000003</v>
      </c>
      <c r="E104">
        <v>20</v>
      </c>
      <c r="F104">
        <v>0</v>
      </c>
      <c r="G104">
        <v>10</v>
      </c>
      <c r="H104">
        <v>0</v>
      </c>
      <c r="I104">
        <v>40</v>
      </c>
      <c r="J104" t="s">
        <v>48</v>
      </c>
      <c r="K104" t="s">
        <v>11</v>
      </c>
    </row>
    <row r="105" spans="1:11" x14ac:dyDescent="0.3">
      <c r="A105" s="65">
        <v>46230</v>
      </c>
      <c r="B105" t="s">
        <v>207</v>
      </c>
      <c r="C105">
        <v>2.4300000000000002</v>
      </c>
      <c r="D105">
        <v>18.73</v>
      </c>
      <c r="E105">
        <v>20</v>
      </c>
      <c r="F105">
        <v>0</v>
      </c>
      <c r="G105">
        <v>10</v>
      </c>
      <c r="H105">
        <v>0</v>
      </c>
      <c r="I105">
        <v>40</v>
      </c>
      <c r="J105" t="s">
        <v>48</v>
      </c>
      <c r="K105" t="s">
        <v>11</v>
      </c>
    </row>
    <row r="106" spans="1:11" x14ac:dyDescent="0.3">
      <c r="A106" s="65">
        <v>46230</v>
      </c>
      <c r="B106" t="s">
        <v>206</v>
      </c>
      <c r="C106">
        <v>15.35</v>
      </c>
      <c r="D106">
        <v>35.270000000000003</v>
      </c>
      <c r="E106">
        <v>20</v>
      </c>
      <c r="F106">
        <v>0</v>
      </c>
      <c r="G106">
        <v>10</v>
      </c>
      <c r="H106">
        <v>0</v>
      </c>
      <c r="I106">
        <v>40</v>
      </c>
      <c r="J106" t="s">
        <v>48</v>
      </c>
      <c r="K106" t="s">
        <v>11</v>
      </c>
    </row>
    <row r="107" spans="1:11" x14ac:dyDescent="0.3">
      <c r="A107" s="65">
        <v>46230</v>
      </c>
      <c r="B107" t="s">
        <v>207</v>
      </c>
      <c r="C107">
        <v>2.4300000000000002</v>
      </c>
      <c r="D107">
        <v>18.73</v>
      </c>
      <c r="E107">
        <v>20</v>
      </c>
      <c r="F107">
        <v>0</v>
      </c>
      <c r="G107">
        <v>10</v>
      </c>
      <c r="H107">
        <v>0</v>
      </c>
      <c r="I107">
        <v>40</v>
      </c>
      <c r="J107" t="s">
        <v>48</v>
      </c>
      <c r="K107" t="s">
        <v>11</v>
      </c>
    </row>
    <row r="108" spans="1:11" x14ac:dyDescent="0.3">
      <c r="A108" s="65">
        <v>46230</v>
      </c>
      <c r="B108" t="s">
        <v>206</v>
      </c>
      <c r="C108">
        <v>15.35</v>
      </c>
      <c r="D108">
        <v>35.270000000000003</v>
      </c>
      <c r="E108">
        <v>20</v>
      </c>
      <c r="F108">
        <v>0</v>
      </c>
      <c r="G108">
        <v>10</v>
      </c>
      <c r="H108">
        <v>0</v>
      </c>
      <c r="I108">
        <v>40</v>
      </c>
      <c r="J108" t="s">
        <v>48</v>
      </c>
      <c r="K108" t="s">
        <v>11</v>
      </c>
    </row>
    <row r="109" spans="1:11" x14ac:dyDescent="0.3">
      <c r="A109" s="65">
        <v>46230</v>
      </c>
      <c r="B109" t="s">
        <v>207</v>
      </c>
      <c r="C109">
        <v>2.4300000000000002</v>
      </c>
      <c r="D109">
        <v>18.73</v>
      </c>
      <c r="E109">
        <v>20</v>
      </c>
      <c r="F109">
        <v>0</v>
      </c>
      <c r="G109">
        <v>10</v>
      </c>
      <c r="H109">
        <v>0</v>
      </c>
      <c r="I109">
        <v>40</v>
      </c>
      <c r="J109" t="s">
        <v>48</v>
      </c>
      <c r="K109" t="s">
        <v>11</v>
      </c>
    </row>
    <row r="110" spans="1:11" x14ac:dyDescent="0.3">
      <c r="A110" s="65">
        <v>46229</v>
      </c>
      <c r="B110" t="s">
        <v>82</v>
      </c>
      <c r="C110">
        <v>19.100000000000001</v>
      </c>
      <c r="D110">
        <v>89.98</v>
      </c>
      <c r="E110">
        <v>20</v>
      </c>
      <c r="F110">
        <v>20</v>
      </c>
      <c r="G110">
        <v>27</v>
      </c>
      <c r="H110">
        <v>342468</v>
      </c>
      <c r="I110">
        <v>3</v>
      </c>
      <c r="J110" t="s">
        <v>133</v>
      </c>
      <c r="K110" t="s">
        <v>12</v>
      </c>
    </row>
    <row r="111" spans="1:11" x14ac:dyDescent="0.3">
      <c r="A111" s="65">
        <v>46229</v>
      </c>
      <c r="B111" t="s">
        <v>82</v>
      </c>
      <c r="C111">
        <v>51.1</v>
      </c>
      <c r="D111">
        <v>90.14</v>
      </c>
      <c r="E111">
        <v>20</v>
      </c>
      <c r="F111">
        <v>20</v>
      </c>
      <c r="G111">
        <v>30</v>
      </c>
      <c r="H111">
        <v>342650</v>
      </c>
      <c r="I111">
        <v>5</v>
      </c>
      <c r="J111" t="s">
        <v>2</v>
      </c>
      <c r="K111" t="s">
        <v>12</v>
      </c>
    </row>
    <row r="112" spans="1:11" x14ac:dyDescent="0.3">
      <c r="A112" s="65">
        <v>46229</v>
      </c>
      <c r="B112" t="s">
        <v>82</v>
      </c>
      <c r="C112">
        <v>9.1999999999999993</v>
      </c>
      <c r="D112">
        <v>90.96</v>
      </c>
      <c r="E112">
        <v>20</v>
      </c>
      <c r="F112">
        <v>20</v>
      </c>
      <c r="G112">
        <v>41</v>
      </c>
      <c r="H112">
        <v>342814</v>
      </c>
      <c r="I112">
        <v>5</v>
      </c>
      <c r="J112" t="s">
        <v>2</v>
      </c>
      <c r="K112" t="s">
        <v>12</v>
      </c>
    </row>
    <row r="113" spans="1:11" x14ac:dyDescent="0.3">
      <c r="A113" s="65">
        <v>46229</v>
      </c>
      <c r="B113" t="s">
        <v>82</v>
      </c>
      <c r="C113">
        <v>14.4</v>
      </c>
      <c r="D113">
        <v>91.13</v>
      </c>
      <c r="E113">
        <v>20</v>
      </c>
      <c r="F113">
        <v>20</v>
      </c>
      <c r="G113">
        <v>30</v>
      </c>
      <c r="H113">
        <v>342986</v>
      </c>
      <c r="I113">
        <v>4</v>
      </c>
      <c r="J113" t="s">
        <v>2</v>
      </c>
      <c r="K113" t="s">
        <v>12</v>
      </c>
    </row>
    <row r="114" spans="1:11" x14ac:dyDescent="0.3">
      <c r="A114" s="65">
        <v>46229</v>
      </c>
      <c r="B114" t="s">
        <v>82</v>
      </c>
      <c r="C114">
        <v>18</v>
      </c>
      <c r="D114">
        <v>89.83</v>
      </c>
      <c r="E114">
        <v>20</v>
      </c>
      <c r="F114">
        <v>20</v>
      </c>
      <c r="G114">
        <v>31</v>
      </c>
      <c r="H114">
        <v>343187</v>
      </c>
      <c r="I114">
        <v>5</v>
      </c>
      <c r="J114" t="s">
        <v>133</v>
      </c>
      <c r="K114" t="s">
        <v>12</v>
      </c>
    </row>
    <row r="115" spans="1:11" x14ac:dyDescent="0.3">
      <c r="A115" s="65">
        <v>46229</v>
      </c>
      <c r="B115" t="s">
        <v>82</v>
      </c>
      <c r="C115">
        <v>22.7</v>
      </c>
      <c r="D115">
        <v>89.33</v>
      </c>
      <c r="E115">
        <v>20</v>
      </c>
      <c r="F115">
        <v>20</v>
      </c>
      <c r="G115">
        <v>28</v>
      </c>
      <c r="H115">
        <v>343378</v>
      </c>
      <c r="I115">
        <v>5</v>
      </c>
      <c r="J115" t="s">
        <v>133</v>
      </c>
      <c r="K115" t="s">
        <v>12</v>
      </c>
    </row>
    <row r="116" spans="1:11" x14ac:dyDescent="0.3">
      <c r="A116" s="65">
        <v>46229</v>
      </c>
      <c r="B116" t="s">
        <v>82</v>
      </c>
      <c r="C116">
        <v>24.7</v>
      </c>
      <c r="D116">
        <v>89.62</v>
      </c>
      <c r="E116">
        <v>20</v>
      </c>
      <c r="F116">
        <v>20</v>
      </c>
      <c r="G116">
        <v>31</v>
      </c>
      <c r="H116">
        <v>343910</v>
      </c>
      <c r="I116">
        <v>5</v>
      </c>
      <c r="J116" t="s">
        <v>133</v>
      </c>
      <c r="K116" t="s">
        <v>12</v>
      </c>
    </row>
    <row r="117" spans="1:11" x14ac:dyDescent="0.3">
      <c r="A117" s="65">
        <v>46229</v>
      </c>
      <c r="B117" t="s">
        <v>82</v>
      </c>
      <c r="C117">
        <v>45.6</v>
      </c>
      <c r="D117">
        <v>90.1</v>
      </c>
      <c r="E117">
        <v>20</v>
      </c>
      <c r="F117">
        <v>20</v>
      </c>
      <c r="G117">
        <v>33</v>
      </c>
      <c r="H117">
        <v>344064</v>
      </c>
      <c r="I117">
        <v>8</v>
      </c>
      <c r="J117" t="s">
        <v>2</v>
      </c>
      <c r="K117" t="s">
        <v>12</v>
      </c>
    </row>
    <row r="118" spans="1:11" x14ac:dyDescent="0.3">
      <c r="A118" s="65">
        <v>46229</v>
      </c>
      <c r="B118" t="s">
        <v>82</v>
      </c>
      <c r="C118">
        <v>22</v>
      </c>
      <c r="D118">
        <v>91.03</v>
      </c>
      <c r="E118">
        <v>20</v>
      </c>
      <c r="F118">
        <v>20</v>
      </c>
      <c r="G118">
        <v>33</v>
      </c>
      <c r="H118">
        <v>344285</v>
      </c>
      <c r="I118">
        <v>5</v>
      </c>
      <c r="J118" t="s">
        <v>2</v>
      </c>
      <c r="K118" t="s">
        <v>12</v>
      </c>
    </row>
    <row r="119" spans="1:11" x14ac:dyDescent="0.3">
      <c r="A119" s="65">
        <v>46229</v>
      </c>
      <c r="B119" t="s">
        <v>82</v>
      </c>
      <c r="C119">
        <v>13.5</v>
      </c>
      <c r="D119">
        <v>90.27</v>
      </c>
      <c r="E119">
        <v>20</v>
      </c>
      <c r="F119">
        <v>20</v>
      </c>
      <c r="G119">
        <v>28</v>
      </c>
      <c r="H119">
        <v>344466</v>
      </c>
      <c r="I119">
        <v>5</v>
      </c>
      <c r="J119" t="s">
        <v>2</v>
      </c>
      <c r="K119" t="s">
        <v>12</v>
      </c>
    </row>
    <row r="120" spans="1:11" x14ac:dyDescent="0.3">
      <c r="A120" s="65">
        <v>46229</v>
      </c>
      <c r="B120" t="s">
        <v>82</v>
      </c>
      <c r="C120">
        <v>2.2000000000000002</v>
      </c>
      <c r="D120">
        <v>91.04</v>
      </c>
      <c r="E120">
        <v>20</v>
      </c>
      <c r="F120">
        <v>20</v>
      </c>
      <c r="G120">
        <v>29</v>
      </c>
      <c r="H120">
        <v>344639</v>
      </c>
      <c r="I120">
        <v>4</v>
      </c>
      <c r="J120" t="s">
        <v>2</v>
      </c>
      <c r="K120" t="s">
        <v>12</v>
      </c>
    </row>
    <row r="121" spans="1:11" x14ac:dyDescent="0.3">
      <c r="A121" s="65">
        <v>46229</v>
      </c>
      <c r="B121" t="s">
        <v>82</v>
      </c>
      <c r="C121">
        <v>3.4</v>
      </c>
      <c r="D121">
        <v>90.4</v>
      </c>
      <c r="E121">
        <v>20</v>
      </c>
      <c r="F121">
        <v>20</v>
      </c>
      <c r="G121">
        <v>29</v>
      </c>
      <c r="H121">
        <v>344826</v>
      </c>
      <c r="I121">
        <v>4</v>
      </c>
      <c r="J121" t="s">
        <v>2</v>
      </c>
      <c r="K121" t="s">
        <v>12</v>
      </c>
    </row>
    <row r="122" spans="1:11" x14ac:dyDescent="0.3">
      <c r="A122" s="65">
        <v>46229</v>
      </c>
      <c r="B122" t="s">
        <v>82</v>
      </c>
      <c r="C122">
        <v>20.2</v>
      </c>
      <c r="D122">
        <v>90.2</v>
      </c>
      <c r="E122">
        <v>20</v>
      </c>
      <c r="F122">
        <v>20</v>
      </c>
      <c r="G122">
        <v>40</v>
      </c>
      <c r="H122">
        <v>345003</v>
      </c>
      <c r="I122">
        <v>6</v>
      </c>
      <c r="J122" t="s">
        <v>2</v>
      </c>
      <c r="K122" t="s">
        <v>12</v>
      </c>
    </row>
    <row r="123" spans="1:11" x14ac:dyDescent="0.3">
      <c r="A123" s="65">
        <v>46229</v>
      </c>
      <c r="B123" t="s">
        <v>82</v>
      </c>
      <c r="C123">
        <v>15.7</v>
      </c>
      <c r="D123">
        <v>90.28</v>
      </c>
      <c r="E123">
        <v>20</v>
      </c>
      <c r="F123">
        <v>20</v>
      </c>
      <c r="G123">
        <v>31</v>
      </c>
      <c r="H123">
        <v>345342</v>
      </c>
      <c r="I123">
        <v>4</v>
      </c>
      <c r="J123" t="s">
        <v>2</v>
      </c>
      <c r="K123" t="s">
        <v>12</v>
      </c>
    </row>
    <row r="124" spans="1:11" x14ac:dyDescent="0.3">
      <c r="A124" s="65">
        <v>46229</v>
      </c>
      <c r="B124" t="s">
        <v>82</v>
      </c>
      <c r="C124">
        <v>12.4</v>
      </c>
      <c r="D124">
        <v>89.63</v>
      </c>
      <c r="E124">
        <v>20</v>
      </c>
      <c r="F124">
        <v>20</v>
      </c>
      <c r="G124">
        <v>34</v>
      </c>
      <c r="H124">
        <v>345520</v>
      </c>
      <c r="I124">
        <v>4</v>
      </c>
      <c r="J124" t="s">
        <v>133</v>
      </c>
      <c r="K124" t="s">
        <v>12</v>
      </c>
    </row>
    <row r="125" spans="1:11" x14ac:dyDescent="0.3">
      <c r="A125" s="65">
        <v>46229</v>
      </c>
      <c r="B125" t="s">
        <v>82</v>
      </c>
      <c r="C125">
        <v>12.6</v>
      </c>
      <c r="D125">
        <v>89.69</v>
      </c>
      <c r="E125">
        <v>20</v>
      </c>
      <c r="F125">
        <v>20</v>
      </c>
      <c r="G125">
        <v>35</v>
      </c>
      <c r="H125">
        <v>345715</v>
      </c>
      <c r="I125">
        <v>4</v>
      </c>
      <c r="J125" t="s">
        <v>133</v>
      </c>
      <c r="K125" t="s">
        <v>12</v>
      </c>
    </row>
    <row r="126" spans="1:11" x14ac:dyDescent="0.3">
      <c r="A126" s="65">
        <v>46229</v>
      </c>
      <c r="B126" t="s">
        <v>82</v>
      </c>
      <c r="C126">
        <v>13.5</v>
      </c>
      <c r="D126">
        <v>90.8</v>
      </c>
      <c r="E126">
        <v>20</v>
      </c>
      <c r="F126">
        <v>20</v>
      </c>
      <c r="G126">
        <v>50</v>
      </c>
      <c r="H126">
        <v>345918</v>
      </c>
      <c r="I126">
        <v>4</v>
      </c>
      <c r="J126" t="s">
        <v>2</v>
      </c>
      <c r="K126" t="s">
        <v>12</v>
      </c>
    </row>
    <row r="127" spans="1:11" x14ac:dyDescent="0.3">
      <c r="A127" s="65">
        <v>46229</v>
      </c>
      <c r="B127" t="s">
        <v>82</v>
      </c>
      <c r="C127">
        <v>21.3</v>
      </c>
      <c r="D127">
        <v>89.26</v>
      </c>
      <c r="E127">
        <v>20</v>
      </c>
      <c r="F127">
        <v>20</v>
      </c>
      <c r="G127">
        <v>29</v>
      </c>
      <c r="H127">
        <v>346092</v>
      </c>
      <c r="I127">
        <v>4</v>
      </c>
      <c r="J127" t="s">
        <v>133</v>
      </c>
      <c r="K127" t="s">
        <v>12</v>
      </c>
    </row>
    <row r="128" spans="1:11" x14ac:dyDescent="0.3">
      <c r="A128" s="65">
        <v>46229</v>
      </c>
      <c r="B128" t="s">
        <v>82</v>
      </c>
      <c r="C128">
        <v>4.5</v>
      </c>
      <c r="D128">
        <v>91.81</v>
      </c>
      <c r="E128">
        <v>20</v>
      </c>
      <c r="F128">
        <v>20</v>
      </c>
      <c r="G128">
        <v>47</v>
      </c>
      <c r="H128">
        <v>346273</v>
      </c>
      <c r="I128">
        <v>3</v>
      </c>
      <c r="J128" t="s">
        <v>2</v>
      </c>
      <c r="K128" t="s">
        <v>12</v>
      </c>
    </row>
    <row r="129" spans="1:11" x14ac:dyDescent="0.3">
      <c r="A129" s="65">
        <v>46229</v>
      </c>
      <c r="B129" t="s">
        <v>82</v>
      </c>
      <c r="C129">
        <v>54.4</v>
      </c>
      <c r="D129">
        <v>90.88</v>
      </c>
      <c r="E129">
        <v>20</v>
      </c>
      <c r="F129">
        <v>20</v>
      </c>
      <c r="G129">
        <v>32</v>
      </c>
      <c r="H129">
        <v>346518</v>
      </c>
      <c r="I129">
        <v>6</v>
      </c>
      <c r="J129" t="s">
        <v>2</v>
      </c>
      <c r="K129" t="s">
        <v>12</v>
      </c>
    </row>
    <row r="130" spans="1:11" x14ac:dyDescent="0.3">
      <c r="A130" s="65">
        <v>46229</v>
      </c>
      <c r="B130" t="s">
        <v>82</v>
      </c>
      <c r="C130">
        <v>30.7</v>
      </c>
      <c r="D130">
        <v>91.23</v>
      </c>
      <c r="E130">
        <v>20</v>
      </c>
      <c r="F130">
        <v>20</v>
      </c>
      <c r="G130">
        <v>36</v>
      </c>
      <c r="H130">
        <v>346733</v>
      </c>
      <c r="I130">
        <v>4</v>
      </c>
      <c r="J130" t="s">
        <v>2</v>
      </c>
      <c r="K130" t="s">
        <v>12</v>
      </c>
    </row>
    <row r="131" spans="1:11" x14ac:dyDescent="0.3">
      <c r="A131" s="65">
        <v>46229</v>
      </c>
      <c r="B131" t="s">
        <v>82</v>
      </c>
      <c r="C131">
        <v>10.3</v>
      </c>
      <c r="D131">
        <v>90.65</v>
      </c>
      <c r="E131">
        <v>20</v>
      </c>
      <c r="F131">
        <v>20</v>
      </c>
      <c r="G131">
        <v>39</v>
      </c>
      <c r="H131">
        <v>346959</v>
      </c>
      <c r="I131">
        <v>4</v>
      </c>
      <c r="J131" t="s">
        <v>2</v>
      </c>
      <c r="K131" t="s">
        <v>12</v>
      </c>
    </row>
    <row r="132" spans="1:11" x14ac:dyDescent="0.3">
      <c r="A132" s="65">
        <v>46229</v>
      </c>
      <c r="B132" t="s">
        <v>82</v>
      </c>
      <c r="C132">
        <v>25.8</v>
      </c>
      <c r="D132">
        <v>89.94</v>
      </c>
      <c r="E132">
        <v>20</v>
      </c>
      <c r="F132">
        <v>20</v>
      </c>
      <c r="G132">
        <v>36</v>
      </c>
      <c r="H132">
        <v>347124</v>
      </c>
      <c r="I132">
        <v>3</v>
      </c>
      <c r="J132" t="s">
        <v>133</v>
      </c>
      <c r="K132" t="s">
        <v>12</v>
      </c>
    </row>
    <row r="133" spans="1:11" x14ac:dyDescent="0.3">
      <c r="A133" s="65">
        <v>46229</v>
      </c>
      <c r="B133" t="s">
        <v>82</v>
      </c>
      <c r="C133">
        <v>5.6</v>
      </c>
      <c r="D133">
        <v>88.92</v>
      </c>
      <c r="E133">
        <v>20</v>
      </c>
      <c r="F133">
        <v>20</v>
      </c>
      <c r="G133">
        <v>31</v>
      </c>
      <c r="H133">
        <v>347292</v>
      </c>
      <c r="I133">
        <v>3</v>
      </c>
      <c r="J133" t="s">
        <v>133</v>
      </c>
      <c r="K133" t="s">
        <v>12</v>
      </c>
    </row>
    <row r="134" spans="1:11" x14ac:dyDescent="0.3">
      <c r="A134" s="65">
        <v>46229</v>
      </c>
      <c r="B134" t="s">
        <v>13</v>
      </c>
      <c r="C134">
        <v>21</v>
      </c>
      <c r="D134">
        <v>55</v>
      </c>
      <c r="E134">
        <v>21.33</v>
      </c>
      <c r="F134">
        <v>0</v>
      </c>
      <c r="G134">
        <v>11</v>
      </c>
      <c r="H134">
        <v>0</v>
      </c>
      <c r="I134">
        <v>35</v>
      </c>
      <c r="J134" t="s">
        <v>48</v>
      </c>
      <c r="K134" t="s">
        <v>13</v>
      </c>
    </row>
    <row r="135" spans="1:11" x14ac:dyDescent="0.3">
      <c r="A135" s="65">
        <v>46229</v>
      </c>
      <c r="B135" t="s">
        <v>206</v>
      </c>
      <c r="C135">
        <v>20.13</v>
      </c>
      <c r="D135">
        <v>35.020000000000003</v>
      </c>
      <c r="E135">
        <v>20</v>
      </c>
      <c r="F135">
        <v>0</v>
      </c>
      <c r="G135">
        <v>10</v>
      </c>
      <c r="H135">
        <v>0</v>
      </c>
      <c r="I135">
        <v>40</v>
      </c>
      <c r="J135" t="s">
        <v>48</v>
      </c>
      <c r="K135" t="s">
        <v>11</v>
      </c>
    </row>
    <row r="136" spans="1:11" x14ac:dyDescent="0.3">
      <c r="A136" s="65">
        <v>46229</v>
      </c>
      <c r="B136" t="s">
        <v>207</v>
      </c>
      <c r="C136">
        <v>0.12</v>
      </c>
      <c r="D136">
        <v>18.559999999999999</v>
      </c>
      <c r="E136">
        <v>20</v>
      </c>
      <c r="F136">
        <v>0</v>
      </c>
      <c r="G136">
        <v>10</v>
      </c>
      <c r="H136">
        <v>0</v>
      </c>
      <c r="I136">
        <v>40</v>
      </c>
      <c r="J136" t="s">
        <v>48</v>
      </c>
      <c r="K136" t="s">
        <v>11</v>
      </c>
    </row>
    <row r="137" spans="1:11" x14ac:dyDescent="0.3">
      <c r="A137" s="65">
        <v>46229</v>
      </c>
      <c r="B137" t="s">
        <v>206</v>
      </c>
      <c r="C137">
        <v>13.14</v>
      </c>
      <c r="D137">
        <v>35.68</v>
      </c>
      <c r="E137">
        <v>20</v>
      </c>
      <c r="F137">
        <v>0</v>
      </c>
      <c r="G137">
        <v>10</v>
      </c>
      <c r="H137">
        <v>0</v>
      </c>
      <c r="I137">
        <v>40</v>
      </c>
      <c r="J137" t="s">
        <v>48</v>
      </c>
      <c r="K137" t="s">
        <v>11</v>
      </c>
    </row>
    <row r="138" spans="1:11" x14ac:dyDescent="0.3">
      <c r="A138" s="65">
        <v>46229</v>
      </c>
      <c r="B138" t="s">
        <v>207</v>
      </c>
      <c r="C138">
        <v>-0.46</v>
      </c>
      <c r="D138">
        <v>21.54</v>
      </c>
      <c r="E138">
        <v>20</v>
      </c>
      <c r="F138">
        <v>0</v>
      </c>
      <c r="G138">
        <v>10</v>
      </c>
      <c r="H138">
        <v>0</v>
      </c>
      <c r="I138">
        <v>40</v>
      </c>
      <c r="J138" t="s">
        <v>48</v>
      </c>
      <c r="K138" t="s">
        <v>11</v>
      </c>
    </row>
    <row r="139" spans="1:11" x14ac:dyDescent="0.3">
      <c r="A139" s="65">
        <v>46229</v>
      </c>
      <c r="B139" t="s">
        <v>206</v>
      </c>
      <c r="C139">
        <v>14.35</v>
      </c>
      <c r="D139">
        <v>34.770000000000003</v>
      </c>
      <c r="E139">
        <v>20</v>
      </c>
      <c r="F139">
        <v>0</v>
      </c>
      <c r="G139">
        <v>10</v>
      </c>
      <c r="H139">
        <v>0</v>
      </c>
      <c r="I139">
        <v>40</v>
      </c>
      <c r="J139" t="s">
        <v>48</v>
      </c>
      <c r="K139" t="s">
        <v>11</v>
      </c>
    </row>
    <row r="140" spans="1:11" x14ac:dyDescent="0.3">
      <c r="A140" s="65">
        <v>46229</v>
      </c>
      <c r="B140" t="s">
        <v>207</v>
      </c>
      <c r="C140">
        <v>1.43</v>
      </c>
      <c r="D140">
        <v>18.23</v>
      </c>
      <c r="E140">
        <v>20</v>
      </c>
      <c r="F140">
        <v>0</v>
      </c>
      <c r="G140">
        <v>10</v>
      </c>
      <c r="H140">
        <v>0</v>
      </c>
      <c r="I140">
        <v>40</v>
      </c>
      <c r="J140" t="s">
        <v>48</v>
      </c>
      <c r="K140" t="s">
        <v>11</v>
      </c>
    </row>
    <row r="141" spans="1:11" x14ac:dyDescent="0.3">
      <c r="A141" s="65">
        <v>46229</v>
      </c>
      <c r="B141" t="s">
        <v>206</v>
      </c>
      <c r="C141">
        <v>14.35</v>
      </c>
      <c r="D141">
        <v>34.770000000000003</v>
      </c>
      <c r="E141">
        <v>20</v>
      </c>
      <c r="F141">
        <v>0</v>
      </c>
      <c r="G141">
        <v>10</v>
      </c>
      <c r="H141">
        <v>0</v>
      </c>
      <c r="I141">
        <v>40</v>
      </c>
      <c r="J141" t="s">
        <v>48</v>
      </c>
      <c r="K141" t="s">
        <v>11</v>
      </c>
    </row>
    <row r="142" spans="1:11" x14ac:dyDescent="0.3">
      <c r="A142" s="65">
        <v>46229</v>
      </c>
      <c r="B142" t="s">
        <v>207</v>
      </c>
      <c r="C142">
        <v>1.43</v>
      </c>
      <c r="D142">
        <v>18.23</v>
      </c>
      <c r="E142">
        <v>20</v>
      </c>
      <c r="F142">
        <v>0</v>
      </c>
      <c r="G142">
        <v>10</v>
      </c>
      <c r="H142">
        <v>0</v>
      </c>
      <c r="I142">
        <v>40</v>
      </c>
      <c r="J142" t="s">
        <v>48</v>
      </c>
      <c r="K142" t="s">
        <v>11</v>
      </c>
    </row>
    <row r="143" spans="1:11" x14ac:dyDescent="0.3">
      <c r="A143" s="65">
        <v>46229</v>
      </c>
      <c r="B143" t="s">
        <v>206</v>
      </c>
      <c r="C143">
        <v>14.35</v>
      </c>
      <c r="D143">
        <v>34.770000000000003</v>
      </c>
      <c r="E143">
        <v>20</v>
      </c>
      <c r="F143">
        <v>0</v>
      </c>
      <c r="G143">
        <v>10</v>
      </c>
      <c r="H143">
        <v>0</v>
      </c>
      <c r="I143">
        <v>40</v>
      </c>
      <c r="J143" t="s">
        <v>48</v>
      </c>
      <c r="K143" t="s">
        <v>11</v>
      </c>
    </row>
    <row r="144" spans="1:11" x14ac:dyDescent="0.3">
      <c r="A144" s="65">
        <v>46229</v>
      </c>
      <c r="B144" t="s">
        <v>207</v>
      </c>
      <c r="C144">
        <v>1.43</v>
      </c>
      <c r="D144">
        <v>18.23</v>
      </c>
      <c r="E144">
        <v>20</v>
      </c>
      <c r="F144">
        <v>0</v>
      </c>
      <c r="G144">
        <v>10</v>
      </c>
      <c r="H144">
        <v>0</v>
      </c>
      <c r="I144">
        <v>40</v>
      </c>
      <c r="J144" t="s">
        <v>48</v>
      </c>
      <c r="K144" t="s">
        <v>11</v>
      </c>
    </row>
    <row r="145" spans="1:11" x14ac:dyDescent="0.3">
      <c r="A145" s="65">
        <v>46228</v>
      </c>
      <c r="B145" t="s">
        <v>82</v>
      </c>
      <c r="C145">
        <v>36.6</v>
      </c>
      <c r="D145">
        <v>49.88</v>
      </c>
      <c r="E145">
        <v>20</v>
      </c>
      <c r="F145">
        <v>20</v>
      </c>
      <c r="G145">
        <v>40</v>
      </c>
      <c r="H145">
        <v>338554</v>
      </c>
      <c r="I145">
        <v>6</v>
      </c>
      <c r="J145" t="s">
        <v>48</v>
      </c>
      <c r="K145" t="s">
        <v>12</v>
      </c>
    </row>
    <row r="146" spans="1:11" x14ac:dyDescent="0.3">
      <c r="A146" s="65">
        <v>46228</v>
      </c>
      <c r="B146" t="s">
        <v>82</v>
      </c>
      <c r="C146">
        <v>39.1</v>
      </c>
      <c r="D146">
        <v>52.04</v>
      </c>
      <c r="E146">
        <v>20</v>
      </c>
      <c r="F146">
        <v>20</v>
      </c>
      <c r="G146">
        <v>39</v>
      </c>
      <c r="H146">
        <v>338656</v>
      </c>
      <c r="I146">
        <v>5</v>
      </c>
      <c r="J146" t="s">
        <v>48</v>
      </c>
      <c r="K146" t="s">
        <v>12</v>
      </c>
    </row>
    <row r="147" spans="1:11" x14ac:dyDescent="0.3">
      <c r="A147" s="65">
        <v>46228</v>
      </c>
      <c r="B147" t="s">
        <v>82</v>
      </c>
      <c r="C147">
        <v>1.1000000000000001</v>
      </c>
      <c r="D147">
        <v>53.47</v>
      </c>
      <c r="E147">
        <v>20</v>
      </c>
      <c r="F147">
        <v>20</v>
      </c>
      <c r="G147">
        <v>37</v>
      </c>
      <c r="H147">
        <v>338823</v>
      </c>
      <c r="I147">
        <v>4</v>
      </c>
      <c r="J147" t="s">
        <v>48</v>
      </c>
      <c r="K147" t="s">
        <v>12</v>
      </c>
    </row>
    <row r="148" spans="1:11" x14ac:dyDescent="0.3">
      <c r="A148" s="65">
        <v>46228</v>
      </c>
      <c r="B148" t="s">
        <v>82</v>
      </c>
      <c r="C148">
        <v>22.5</v>
      </c>
      <c r="D148">
        <v>50.76</v>
      </c>
      <c r="E148">
        <v>20</v>
      </c>
      <c r="F148">
        <v>20</v>
      </c>
      <c r="G148">
        <v>32</v>
      </c>
      <c r="H148">
        <v>338991</v>
      </c>
      <c r="I148">
        <v>5</v>
      </c>
      <c r="J148" t="s">
        <v>48</v>
      </c>
      <c r="K148" t="s">
        <v>12</v>
      </c>
    </row>
    <row r="149" spans="1:11" x14ac:dyDescent="0.3">
      <c r="A149" s="65">
        <v>46228</v>
      </c>
      <c r="B149" t="s">
        <v>82</v>
      </c>
      <c r="C149">
        <v>13.6</v>
      </c>
      <c r="D149">
        <v>52.94</v>
      </c>
      <c r="E149">
        <v>20</v>
      </c>
      <c r="F149">
        <v>20</v>
      </c>
      <c r="G149">
        <v>32</v>
      </c>
      <c r="H149">
        <v>339157</v>
      </c>
      <c r="I149">
        <v>3</v>
      </c>
      <c r="J149" t="s">
        <v>48</v>
      </c>
      <c r="K149" t="s">
        <v>12</v>
      </c>
    </row>
    <row r="150" spans="1:11" x14ac:dyDescent="0.3">
      <c r="A150" s="65">
        <v>46228</v>
      </c>
      <c r="B150" t="s">
        <v>82</v>
      </c>
      <c r="C150">
        <v>1.1000000000000001</v>
      </c>
      <c r="D150">
        <v>51.06</v>
      </c>
      <c r="E150">
        <v>20</v>
      </c>
      <c r="F150">
        <v>20</v>
      </c>
      <c r="G150">
        <v>36</v>
      </c>
      <c r="H150">
        <v>339326</v>
      </c>
      <c r="I150">
        <v>3</v>
      </c>
      <c r="J150" t="s">
        <v>48</v>
      </c>
      <c r="K150" t="s">
        <v>12</v>
      </c>
    </row>
    <row r="151" spans="1:11" x14ac:dyDescent="0.3">
      <c r="A151" s="65">
        <v>46228</v>
      </c>
      <c r="B151" t="s">
        <v>82</v>
      </c>
      <c r="C151">
        <v>19.100000000000001</v>
      </c>
      <c r="D151">
        <v>50.12</v>
      </c>
      <c r="E151">
        <v>20</v>
      </c>
      <c r="F151">
        <v>20</v>
      </c>
      <c r="G151">
        <v>30</v>
      </c>
      <c r="H151">
        <v>339486</v>
      </c>
      <c r="I151">
        <v>4</v>
      </c>
      <c r="J151" t="s">
        <v>48</v>
      </c>
      <c r="K151" t="s">
        <v>12</v>
      </c>
    </row>
    <row r="152" spans="1:11" x14ac:dyDescent="0.3">
      <c r="A152" s="65">
        <v>46228</v>
      </c>
      <c r="B152" t="s">
        <v>82</v>
      </c>
      <c r="C152">
        <v>11.4</v>
      </c>
      <c r="D152">
        <v>52.16</v>
      </c>
      <c r="E152">
        <v>20</v>
      </c>
      <c r="F152">
        <v>20</v>
      </c>
      <c r="G152">
        <v>27</v>
      </c>
      <c r="H152">
        <v>339659</v>
      </c>
      <c r="I152">
        <v>4</v>
      </c>
      <c r="J152" t="s">
        <v>48</v>
      </c>
      <c r="K152" t="s">
        <v>12</v>
      </c>
    </row>
    <row r="153" spans="1:11" x14ac:dyDescent="0.3">
      <c r="A153" s="65">
        <v>46228</v>
      </c>
      <c r="B153" t="s">
        <v>82</v>
      </c>
      <c r="C153">
        <v>15.9</v>
      </c>
      <c r="D153">
        <v>50.91</v>
      </c>
      <c r="E153">
        <v>20</v>
      </c>
      <c r="F153">
        <v>20</v>
      </c>
      <c r="G153">
        <v>28</v>
      </c>
      <c r="H153">
        <v>339726</v>
      </c>
      <c r="I153">
        <v>3</v>
      </c>
      <c r="J153" t="s">
        <v>48</v>
      </c>
      <c r="K153" t="s">
        <v>12</v>
      </c>
    </row>
    <row r="154" spans="1:11" x14ac:dyDescent="0.3">
      <c r="A154" s="65">
        <v>46228</v>
      </c>
      <c r="B154" t="s">
        <v>82</v>
      </c>
      <c r="C154">
        <v>20.2</v>
      </c>
      <c r="D154">
        <v>51.63</v>
      </c>
      <c r="E154">
        <v>20</v>
      </c>
      <c r="F154">
        <v>20</v>
      </c>
      <c r="G154">
        <v>29</v>
      </c>
      <c r="H154">
        <v>339823</v>
      </c>
      <c r="I154">
        <v>5</v>
      </c>
      <c r="J154" t="s">
        <v>48</v>
      </c>
      <c r="K154" t="s">
        <v>12</v>
      </c>
    </row>
    <row r="155" spans="1:11" x14ac:dyDescent="0.3">
      <c r="A155" s="65">
        <v>46228</v>
      </c>
      <c r="B155" t="s">
        <v>82</v>
      </c>
      <c r="C155">
        <v>27</v>
      </c>
      <c r="D155">
        <v>52.09</v>
      </c>
      <c r="E155">
        <v>20</v>
      </c>
      <c r="F155">
        <v>20</v>
      </c>
      <c r="G155">
        <v>30</v>
      </c>
      <c r="H155">
        <v>339902</v>
      </c>
      <c r="I155">
        <v>5</v>
      </c>
      <c r="J155" t="s">
        <v>48</v>
      </c>
      <c r="K155" t="s">
        <v>12</v>
      </c>
    </row>
    <row r="156" spans="1:11" x14ac:dyDescent="0.3">
      <c r="A156" s="65">
        <v>46228</v>
      </c>
      <c r="B156" t="s">
        <v>82</v>
      </c>
      <c r="C156">
        <v>5.6</v>
      </c>
      <c r="D156">
        <v>52.9</v>
      </c>
      <c r="E156">
        <v>20</v>
      </c>
      <c r="F156">
        <v>20</v>
      </c>
      <c r="G156">
        <v>29</v>
      </c>
      <c r="H156">
        <v>339984</v>
      </c>
      <c r="I156">
        <v>4</v>
      </c>
      <c r="J156" t="s">
        <v>48</v>
      </c>
      <c r="K156" t="s">
        <v>12</v>
      </c>
    </row>
    <row r="157" spans="1:11" x14ac:dyDescent="0.3">
      <c r="A157" s="65">
        <v>46228</v>
      </c>
      <c r="B157" t="s">
        <v>82</v>
      </c>
      <c r="C157">
        <v>4.4000000000000004</v>
      </c>
      <c r="D157">
        <v>50.82</v>
      </c>
      <c r="E157">
        <v>20</v>
      </c>
      <c r="F157">
        <v>20</v>
      </c>
      <c r="G157">
        <v>31</v>
      </c>
      <c r="H157">
        <v>340060</v>
      </c>
      <c r="I157">
        <v>3</v>
      </c>
      <c r="J157" t="s">
        <v>48</v>
      </c>
      <c r="K157" t="s">
        <v>12</v>
      </c>
    </row>
    <row r="158" spans="1:11" x14ac:dyDescent="0.3">
      <c r="A158" s="65">
        <v>46228</v>
      </c>
      <c r="B158" t="s">
        <v>82</v>
      </c>
      <c r="C158">
        <v>18.600000000000001</v>
      </c>
      <c r="D158">
        <v>52.58</v>
      </c>
      <c r="E158">
        <v>20</v>
      </c>
      <c r="F158">
        <v>20</v>
      </c>
      <c r="G158">
        <v>28</v>
      </c>
      <c r="H158">
        <v>340132</v>
      </c>
      <c r="I158">
        <v>3</v>
      </c>
      <c r="J158" t="s">
        <v>48</v>
      </c>
      <c r="K158" t="s">
        <v>12</v>
      </c>
    </row>
    <row r="159" spans="1:11" x14ac:dyDescent="0.3">
      <c r="A159" s="65">
        <v>46228</v>
      </c>
      <c r="B159" t="s">
        <v>82</v>
      </c>
      <c r="C159">
        <v>20.7</v>
      </c>
      <c r="D159">
        <v>54.33</v>
      </c>
      <c r="E159">
        <v>20</v>
      </c>
      <c r="F159">
        <v>20</v>
      </c>
      <c r="G159">
        <v>35</v>
      </c>
      <c r="H159">
        <v>340316</v>
      </c>
      <c r="I159">
        <v>6</v>
      </c>
      <c r="J159" t="s">
        <v>48</v>
      </c>
      <c r="K159" t="s">
        <v>12</v>
      </c>
    </row>
    <row r="160" spans="1:11" x14ac:dyDescent="0.3">
      <c r="A160" s="65">
        <v>46228</v>
      </c>
      <c r="B160" t="s">
        <v>82</v>
      </c>
      <c r="C160">
        <v>26.1</v>
      </c>
      <c r="D160">
        <v>52.2</v>
      </c>
      <c r="E160">
        <v>20</v>
      </c>
      <c r="F160">
        <v>20</v>
      </c>
      <c r="G160">
        <v>35</v>
      </c>
      <c r="H160">
        <v>340593</v>
      </c>
      <c r="I160">
        <v>5</v>
      </c>
      <c r="J160" t="s">
        <v>48</v>
      </c>
      <c r="K160" t="s">
        <v>12</v>
      </c>
    </row>
    <row r="161" spans="1:11" x14ac:dyDescent="0.3">
      <c r="A161" s="65">
        <v>46228</v>
      </c>
      <c r="B161" t="s">
        <v>82</v>
      </c>
      <c r="C161">
        <v>14.6</v>
      </c>
      <c r="D161">
        <v>52.95</v>
      </c>
      <c r="E161">
        <v>20</v>
      </c>
      <c r="F161">
        <v>20</v>
      </c>
      <c r="G161">
        <v>30</v>
      </c>
      <c r="H161">
        <v>340783</v>
      </c>
      <c r="I161">
        <v>5</v>
      </c>
      <c r="J161" t="s">
        <v>48</v>
      </c>
      <c r="K161" t="s">
        <v>12</v>
      </c>
    </row>
    <row r="162" spans="1:11" x14ac:dyDescent="0.3">
      <c r="A162" s="65">
        <v>46228</v>
      </c>
      <c r="B162" t="s">
        <v>82</v>
      </c>
      <c r="C162">
        <v>8.8000000000000007</v>
      </c>
      <c r="D162">
        <v>52.44</v>
      </c>
      <c r="E162">
        <v>20</v>
      </c>
      <c r="F162">
        <v>20</v>
      </c>
      <c r="G162">
        <v>31</v>
      </c>
      <c r="H162">
        <v>341129</v>
      </c>
      <c r="I162">
        <v>3</v>
      </c>
      <c r="J162" t="s">
        <v>48</v>
      </c>
      <c r="K162" t="s">
        <v>12</v>
      </c>
    </row>
    <row r="163" spans="1:11" x14ac:dyDescent="0.3">
      <c r="A163" s="65">
        <v>46228</v>
      </c>
      <c r="B163" t="s">
        <v>82</v>
      </c>
      <c r="C163">
        <v>13.6</v>
      </c>
      <c r="D163">
        <v>52.26</v>
      </c>
      <c r="E163">
        <v>20</v>
      </c>
      <c r="F163">
        <v>20</v>
      </c>
      <c r="G163">
        <v>30</v>
      </c>
      <c r="H163">
        <v>341309</v>
      </c>
      <c r="I163">
        <v>4</v>
      </c>
      <c r="J163" t="s">
        <v>48</v>
      </c>
      <c r="K163" t="s">
        <v>12</v>
      </c>
    </row>
    <row r="164" spans="1:11" x14ac:dyDescent="0.3">
      <c r="A164" s="65">
        <v>46228</v>
      </c>
      <c r="B164" t="s">
        <v>82</v>
      </c>
      <c r="C164">
        <v>27.2</v>
      </c>
      <c r="D164">
        <v>51.87</v>
      </c>
      <c r="E164">
        <v>20</v>
      </c>
      <c r="F164">
        <v>20</v>
      </c>
      <c r="G164">
        <v>31</v>
      </c>
      <c r="H164">
        <v>341480</v>
      </c>
      <c r="I164">
        <v>4</v>
      </c>
      <c r="J164" t="s">
        <v>48</v>
      </c>
      <c r="K164" t="s">
        <v>12</v>
      </c>
    </row>
    <row r="165" spans="1:11" x14ac:dyDescent="0.3">
      <c r="A165" s="65">
        <v>46228</v>
      </c>
      <c r="B165" t="s">
        <v>82</v>
      </c>
      <c r="C165">
        <v>7.7</v>
      </c>
      <c r="D165">
        <v>51.19</v>
      </c>
      <c r="E165">
        <v>20</v>
      </c>
      <c r="F165">
        <v>20</v>
      </c>
      <c r="G165">
        <v>34</v>
      </c>
      <c r="H165">
        <v>341650</v>
      </c>
      <c r="I165">
        <v>6</v>
      </c>
      <c r="J165" t="s">
        <v>48</v>
      </c>
      <c r="K165" t="s">
        <v>12</v>
      </c>
    </row>
    <row r="166" spans="1:11" x14ac:dyDescent="0.3">
      <c r="A166" s="65">
        <v>46228</v>
      </c>
      <c r="B166" t="s">
        <v>82</v>
      </c>
      <c r="C166">
        <v>48.9</v>
      </c>
      <c r="D166">
        <v>52.21</v>
      </c>
      <c r="E166">
        <v>20</v>
      </c>
      <c r="F166">
        <v>20</v>
      </c>
      <c r="G166">
        <v>30</v>
      </c>
      <c r="H166">
        <v>341870</v>
      </c>
      <c r="I166">
        <v>6</v>
      </c>
      <c r="J166" t="s">
        <v>48</v>
      </c>
      <c r="K166" t="s">
        <v>12</v>
      </c>
    </row>
    <row r="167" spans="1:11" x14ac:dyDescent="0.3">
      <c r="A167" s="65">
        <v>46228</v>
      </c>
      <c r="B167" t="s">
        <v>82</v>
      </c>
      <c r="C167">
        <v>6.7</v>
      </c>
      <c r="D167">
        <v>91.23</v>
      </c>
      <c r="E167">
        <v>20</v>
      </c>
      <c r="F167">
        <v>20</v>
      </c>
      <c r="G167">
        <v>31</v>
      </c>
      <c r="H167">
        <v>342112</v>
      </c>
      <c r="I167">
        <v>4</v>
      </c>
      <c r="J167" t="s">
        <v>2</v>
      </c>
      <c r="K167" t="s">
        <v>12</v>
      </c>
    </row>
    <row r="168" spans="1:11" x14ac:dyDescent="0.3">
      <c r="A168" s="65">
        <v>46228</v>
      </c>
      <c r="B168" t="s">
        <v>82</v>
      </c>
      <c r="C168">
        <v>14.4</v>
      </c>
      <c r="D168">
        <v>89.98</v>
      </c>
      <c r="E168">
        <v>20</v>
      </c>
      <c r="F168">
        <v>20</v>
      </c>
      <c r="G168">
        <v>28</v>
      </c>
      <c r="H168">
        <v>342277</v>
      </c>
      <c r="I168">
        <v>5</v>
      </c>
      <c r="J168" t="s">
        <v>133</v>
      </c>
      <c r="K168" t="s">
        <v>12</v>
      </c>
    </row>
    <row r="169" spans="1:11" x14ac:dyDescent="0.3">
      <c r="A169" s="65">
        <v>46228</v>
      </c>
      <c r="B169" t="s">
        <v>13</v>
      </c>
      <c r="C169">
        <v>20</v>
      </c>
      <c r="D169">
        <v>54</v>
      </c>
      <c r="E169">
        <v>21.28</v>
      </c>
      <c r="F169">
        <v>0</v>
      </c>
      <c r="G169">
        <v>6</v>
      </c>
      <c r="H169">
        <v>0</v>
      </c>
      <c r="I169">
        <v>37</v>
      </c>
      <c r="J169" t="s">
        <v>48</v>
      </c>
      <c r="K169" t="s">
        <v>13</v>
      </c>
    </row>
    <row r="170" spans="1:11" x14ac:dyDescent="0.3">
      <c r="A170" s="65">
        <v>46228</v>
      </c>
      <c r="B170" t="s">
        <v>206</v>
      </c>
      <c r="C170">
        <v>19.13</v>
      </c>
      <c r="D170">
        <v>34.520000000000003</v>
      </c>
      <c r="E170">
        <v>20</v>
      </c>
      <c r="F170">
        <v>0</v>
      </c>
      <c r="G170">
        <v>10</v>
      </c>
      <c r="H170">
        <v>0</v>
      </c>
      <c r="I170">
        <v>40</v>
      </c>
      <c r="J170" t="s">
        <v>48</v>
      </c>
      <c r="K170" t="s">
        <v>11</v>
      </c>
    </row>
    <row r="171" spans="1:11" x14ac:dyDescent="0.3">
      <c r="A171" s="65">
        <v>46228</v>
      </c>
      <c r="B171" t="s">
        <v>207</v>
      </c>
      <c r="C171">
        <v>-0.88</v>
      </c>
      <c r="D171">
        <v>18.059999999999999</v>
      </c>
      <c r="E171">
        <v>20</v>
      </c>
      <c r="F171">
        <v>0</v>
      </c>
      <c r="G171">
        <v>10</v>
      </c>
      <c r="H171">
        <v>0</v>
      </c>
      <c r="I171">
        <v>40</v>
      </c>
      <c r="J171" t="s">
        <v>48</v>
      </c>
      <c r="K171" t="s">
        <v>11</v>
      </c>
    </row>
    <row r="172" spans="1:11" x14ac:dyDescent="0.3">
      <c r="A172" s="65">
        <v>46228</v>
      </c>
      <c r="B172" t="s">
        <v>206</v>
      </c>
      <c r="C172">
        <v>12.14</v>
      </c>
      <c r="D172">
        <v>35.18</v>
      </c>
      <c r="E172">
        <v>20</v>
      </c>
      <c r="F172">
        <v>0</v>
      </c>
      <c r="G172">
        <v>10</v>
      </c>
      <c r="H172">
        <v>0</v>
      </c>
      <c r="I172">
        <v>40</v>
      </c>
      <c r="J172" t="s">
        <v>48</v>
      </c>
      <c r="K172" t="s">
        <v>11</v>
      </c>
    </row>
    <row r="173" spans="1:11" x14ac:dyDescent="0.3">
      <c r="A173" s="65">
        <v>46228</v>
      </c>
      <c r="B173" t="s">
        <v>207</v>
      </c>
      <c r="C173">
        <v>-1.46</v>
      </c>
      <c r="D173">
        <v>21.04</v>
      </c>
      <c r="E173">
        <v>20</v>
      </c>
      <c r="F173">
        <v>0</v>
      </c>
      <c r="G173">
        <v>10</v>
      </c>
      <c r="H173">
        <v>0</v>
      </c>
      <c r="I173">
        <v>40</v>
      </c>
      <c r="J173" t="s">
        <v>48</v>
      </c>
      <c r="K173" t="s">
        <v>11</v>
      </c>
    </row>
    <row r="174" spans="1:11" x14ac:dyDescent="0.3">
      <c r="A174" s="65">
        <v>46228</v>
      </c>
      <c r="B174" t="s">
        <v>206</v>
      </c>
      <c r="C174">
        <v>13.35</v>
      </c>
      <c r="D174">
        <v>34.270000000000003</v>
      </c>
      <c r="E174">
        <v>20</v>
      </c>
      <c r="F174">
        <v>0</v>
      </c>
      <c r="G174">
        <v>10</v>
      </c>
      <c r="H174">
        <v>0</v>
      </c>
      <c r="I174">
        <v>40</v>
      </c>
      <c r="J174" t="s">
        <v>48</v>
      </c>
      <c r="K174" t="s">
        <v>11</v>
      </c>
    </row>
    <row r="175" spans="1:11" x14ac:dyDescent="0.3">
      <c r="A175" s="65">
        <v>46228</v>
      </c>
      <c r="B175" t="s">
        <v>207</v>
      </c>
      <c r="C175">
        <v>0.43</v>
      </c>
      <c r="D175">
        <v>17.73</v>
      </c>
      <c r="E175">
        <v>20</v>
      </c>
      <c r="F175">
        <v>0</v>
      </c>
      <c r="G175">
        <v>10</v>
      </c>
      <c r="H175">
        <v>0</v>
      </c>
      <c r="I175">
        <v>40</v>
      </c>
      <c r="J175" t="s">
        <v>48</v>
      </c>
      <c r="K175" t="s">
        <v>11</v>
      </c>
    </row>
    <row r="176" spans="1:11" x14ac:dyDescent="0.3">
      <c r="A176" s="65">
        <v>46228</v>
      </c>
      <c r="B176" t="s">
        <v>206</v>
      </c>
      <c r="C176">
        <v>13.35</v>
      </c>
      <c r="D176">
        <v>34.270000000000003</v>
      </c>
      <c r="E176">
        <v>20</v>
      </c>
      <c r="F176">
        <v>0</v>
      </c>
      <c r="G176">
        <v>10</v>
      </c>
      <c r="H176">
        <v>0</v>
      </c>
      <c r="I176">
        <v>40</v>
      </c>
      <c r="J176" t="s">
        <v>48</v>
      </c>
      <c r="K176" t="s">
        <v>11</v>
      </c>
    </row>
    <row r="177" spans="1:11" x14ac:dyDescent="0.3">
      <c r="A177" s="65">
        <v>46228</v>
      </c>
      <c r="B177" t="s">
        <v>207</v>
      </c>
      <c r="C177">
        <v>0.43</v>
      </c>
      <c r="D177">
        <v>17.73</v>
      </c>
      <c r="E177">
        <v>20</v>
      </c>
      <c r="F177">
        <v>0</v>
      </c>
      <c r="G177">
        <v>10</v>
      </c>
      <c r="H177">
        <v>0</v>
      </c>
      <c r="I177">
        <v>40</v>
      </c>
      <c r="J177" t="s">
        <v>48</v>
      </c>
      <c r="K177" t="s">
        <v>11</v>
      </c>
    </row>
    <row r="178" spans="1:11" x14ac:dyDescent="0.3">
      <c r="A178" s="65">
        <v>46228</v>
      </c>
      <c r="B178" t="s">
        <v>206</v>
      </c>
      <c r="C178">
        <v>13.35</v>
      </c>
      <c r="D178">
        <v>34.270000000000003</v>
      </c>
      <c r="E178">
        <v>20</v>
      </c>
      <c r="F178">
        <v>0</v>
      </c>
      <c r="G178">
        <v>10</v>
      </c>
      <c r="H178">
        <v>0</v>
      </c>
      <c r="I178">
        <v>40</v>
      </c>
      <c r="J178" t="s">
        <v>48</v>
      </c>
      <c r="K178" t="s">
        <v>11</v>
      </c>
    </row>
    <row r="179" spans="1:11" x14ac:dyDescent="0.3">
      <c r="A179" s="65">
        <v>46228</v>
      </c>
      <c r="B179" t="s">
        <v>207</v>
      </c>
      <c r="C179">
        <v>0.43</v>
      </c>
      <c r="D179">
        <v>17.73</v>
      </c>
      <c r="E179">
        <v>20</v>
      </c>
      <c r="F179">
        <v>0</v>
      </c>
      <c r="G179">
        <v>10</v>
      </c>
      <c r="H179">
        <v>0</v>
      </c>
      <c r="I179">
        <v>40</v>
      </c>
      <c r="J179" t="s">
        <v>48</v>
      </c>
      <c r="K179" t="s">
        <v>11</v>
      </c>
    </row>
    <row r="180" spans="1:11" x14ac:dyDescent="0.3">
      <c r="A180" s="65">
        <v>46227</v>
      </c>
      <c r="B180" t="s">
        <v>82</v>
      </c>
      <c r="C180">
        <v>37.1</v>
      </c>
      <c r="D180">
        <v>51.09</v>
      </c>
      <c r="E180">
        <v>20</v>
      </c>
      <c r="F180">
        <v>20</v>
      </c>
      <c r="G180">
        <v>35</v>
      </c>
      <c r="H180">
        <v>320889</v>
      </c>
      <c r="I180">
        <v>5</v>
      </c>
      <c r="J180" t="s">
        <v>48</v>
      </c>
      <c r="K180" t="s">
        <v>12</v>
      </c>
    </row>
    <row r="181" spans="1:11" x14ac:dyDescent="0.3">
      <c r="A181" s="65">
        <v>46227</v>
      </c>
      <c r="B181" t="s">
        <v>82</v>
      </c>
      <c r="C181">
        <v>14.8</v>
      </c>
      <c r="D181">
        <v>49.78</v>
      </c>
      <c r="E181">
        <v>20</v>
      </c>
      <c r="F181">
        <v>20</v>
      </c>
      <c r="G181">
        <v>31</v>
      </c>
      <c r="H181">
        <v>320922</v>
      </c>
      <c r="I181">
        <v>4</v>
      </c>
      <c r="J181" t="s">
        <v>48</v>
      </c>
      <c r="K181" t="s">
        <v>12</v>
      </c>
    </row>
    <row r="182" spans="1:11" x14ac:dyDescent="0.3">
      <c r="A182" s="65">
        <v>46227</v>
      </c>
      <c r="B182" t="s">
        <v>82</v>
      </c>
      <c r="C182">
        <v>23.3</v>
      </c>
      <c r="D182">
        <v>51.09</v>
      </c>
      <c r="E182">
        <v>20</v>
      </c>
      <c r="F182">
        <v>20</v>
      </c>
      <c r="G182">
        <v>30</v>
      </c>
      <c r="H182">
        <v>320923</v>
      </c>
      <c r="I182">
        <v>4</v>
      </c>
      <c r="J182" t="s">
        <v>48</v>
      </c>
      <c r="K182" t="s">
        <v>12</v>
      </c>
    </row>
    <row r="183" spans="1:11" x14ac:dyDescent="0.3">
      <c r="A183" s="65">
        <v>46227</v>
      </c>
      <c r="B183" t="s">
        <v>82</v>
      </c>
      <c r="C183">
        <v>4.5999999999999996</v>
      </c>
      <c r="D183">
        <v>52.05</v>
      </c>
      <c r="E183">
        <v>20</v>
      </c>
      <c r="F183">
        <v>20</v>
      </c>
      <c r="G183">
        <v>30</v>
      </c>
      <c r="H183">
        <v>320928</v>
      </c>
      <c r="I183">
        <v>5</v>
      </c>
      <c r="J183" t="s">
        <v>48</v>
      </c>
      <c r="K183" t="s">
        <v>12</v>
      </c>
    </row>
    <row r="184" spans="1:11" x14ac:dyDescent="0.3">
      <c r="A184" s="65">
        <v>46227</v>
      </c>
      <c r="B184" t="s">
        <v>82</v>
      </c>
      <c r="C184">
        <v>13.5</v>
      </c>
      <c r="D184">
        <v>51</v>
      </c>
      <c r="E184">
        <v>20</v>
      </c>
      <c r="F184">
        <v>20</v>
      </c>
      <c r="G184">
        <v>35</v>
      </c>
      <c r="H184">
        <v>320956</v>
      </c>
      <c r="I184">
        <v>4</v>
      </c>
      <c r="J184" t="s">
        <v>48</v>
      </c>
      <c r="K184" t="s">
        <v>12</v>
      </c>
    </row>
    <row r="185" spans="1:11" x14ac:dyDescent="0.3">
      <c r="A185" s="65">
        <v>46227</v>
      </c>
      <c r="B185" t="s">
        <v>82</v>
      </c>
      <c r="C185">
        <v>39.799999999999997</v>
      </c>
      <c r="D185">
        <v>50.93</v>
      </c>
      <c r="E185">
        <v>20</v>
      </c>
      <c r="F185">
        <v>20</v>
      </c>
      <c r="G185">
        <v>33</v>
      </c>
      <c r="H185">
        <v>321345</v>
      </c>
      <c r="I185">
        <v>7</v>
      </c>
      <c r="J185" t="s">
        <v>48</v>
      </c>
      <c r="K185" t="s">
        <v>12</v>
      </c>
    </row>
    <row r="186" spans="1:11" x14ac:dyDescent="0.3">
      <c r="A186" s="65">
        <v>46227</v>
      </c>
      <c r="B186" t="s">
        <v>82</v>
      </c>
      <c r="C186">
        <v>100</v>
      </c>
      <c r="D186">
        <v>50.24</v>
      </c>
      <c r="E186">
        <v>20</v>
      </c>
      <c r="F186">
        <v>20</v>
      </c>
      <c r="G186">
        <v>128</v>
      </c>
      <c r="H186">
        <v>322845</v>
      </c>
      <c r="I186">
        <v>15</v>
      </c>
      <c r="J186" t="s">
        <v>2</v>
      </c>
      <c r="K186" t="s">
        <v>12</v>
      </c>
    </row>
    <row r="187" spans="1:11" x14ac:dyDescent="0.3">
      <c r="A187" s="65">
        <v>46227</v>
      </c>
      <c r="B187" t="s">
        <v>82</v>
      </c>
      <c r="C187">
        <v>63.8</v>
      </c>
      <c r="D187">
        <v>50.56</v>
      </c>
      <c r="E187">
        <v>20</v>
      </c>
      <c r="F187">
        <v>20</v>
      </c>
      <c r="G187">
        <v>52</v>
      </c>
      <c r="H187">
        <v>324069</v>
      </c>
      <c r="I187">
        <v>8</v>
      </c>
      <c r="J187" t="s">
        <v>48</v>
      </c>
      <c r="K187" t="s">
        <v>12</v>
      </c>
    </row>
    <row r="188" spans="1:11" x14ac:dyDescent="0.3">
      <c r="A188" s="65">
        <v>46227</v>
      </c>
      <c r="B188" t="s">
        <v>82</v>
      </c>
      <c r="C188">
        <v>83.3</v>
      </c>
      <c r="D188">
        <v>49.26</v>
      </c>
      <c r="E188">
        <v>20</v>
      </c>
      <c r="F188">
        <v>20</v>
      </c>
      <c r="G188">
        <v>47</v>
      </c>
      <c r="H188">
        <v>326341</v>
      </c>
      <c r="I188">
        <v>12</v>
      </c>
      <c r="J188" t="s">
        <v>133</v>
      </c>
      <c r="K188" t="s">
        <v>12</v>
      </c>
    </row>
    <row r="189" spans="1:11" x14ac:dyDescent="0.3">
      <c r="A189" s="65">
        <v>46227</v>
      </c>
      <c r="B189" t="s">
        <v>82</v>
      </c>
      <c r="C189">
        <v>74.7</v>
      </c>
      <c r="D189">
        <v>50.11</v>
      </c>
      <c r="E189">
        <v>20</v>
      </c>
      <c r="F189">
        <v>20</v>
      </c>
      <c r="G189">
        <v>49</v>
      </c>
      <c r="H189">
        <v>328307</v>
      </c>
      <c r="I189">
        <v>9</v>
      </c>
      <c r="J189" t="s">
        <v>133</v>
      </c>
      <c r="K189" t="s">
        <v>12</v>
      </c>
    </row>
    <row r="190" spans="1:11" x14ac:dyDescent="0.3">
      <c r="A190" s="65">
        <v>46227</v>
      </c>
      <c r="B190" t="s">
        <v>82</v>
      </c>
      <c r="C190">
        <v>46.2</v>
      </c>
      <c r="D190">
        <v>50.83</v>
      </c>
      <c r="E190">
        <v>20</v>
      </c>
      <c r="F190">
        <v>20</v>
      </c>
      <c r="G190">
        <v>39</v>
      </c>
      <c r="H190">
        <v>331356</v>
      </c>
      <c r="I190">
        <v>7</v>
      </c>
      <c r="J190" t="s">
        <v>48</v>
      </c>
      <c r="K190" t="s">
        <v>12</v>
      </c>
    </row>
    <row r="191" spans="1:11" x14ac:dyDescent="0.3">
      <c r="A191" s="65">
        <v>46227</v>
      </c>
      <c r="B191" t="s">
        <v>82</v>
      </c>
      <c r="C191">
        <v>30.7</v>
      </c>
      <c r="D191">
        <v>51.63</v>
      </c>
      <c r="E191">
        <v>20</v>
      </c>
      <c r="F191">
        <v>20</v>
      </c>
      <c r="G191">
        <v>54</v>
      </c>
      <c r="H191">
        <v>331824</v>
      </c>
      <c r="I191">
        <v>4</v>
      </c>
      <c r="J191" t="s">
        <v>48</v>
      </c>
      <c r="K191" t="s">
        <v>12</v>
      </c>
    </row>
    <row r="192" spans="1:11" x14ac:dyDescent="0.3">
      <c r="A192" s="65">
        <v>46227</v>
      </c>
      <c r="B192" t="s">
        <v>82</v>
      </c>
      <c r="C192">
        <v>97.8</v>
      </c>
      <c r="D192">
        <v>50.84</v>
      </c>
      <c r="E192">
        <v>20</v>
      </c>
      <c r="F192">
        <v>20</v>
      </c>
      <c r="G192">
        <v>61</v>
      </c>
      <c r="H192">
        <v>332583</v>
      </c>
      <c r="I192">
        <v>15</v>
      </c>
      <c r="J192" t="s">
        <v>2</v>
      </c>
      <c r="K192" t="s">
        <v>12</v>
      </c>
    </row>
    <row r="193" spans="1:11" x14ac:dyDescent="0.3">
      <c r="A193" s="65">
        <v>46227</v>
      </c>
      <c r="B193" t="s">
        <v>82</v>
      </c>
      <c r="C193">
        <v>90.1</v>
      </c>
      <c r="D193">
        <v>49.87</v>
      </c>
      <c r="E193">
        <v>20</v>
      </c>
      <c r="F193">
        <v>20</v>
      </c>
      <c r="G193">
        <v>127</v>
      </c>
      <c r="H193">
        <v>333862</v>
      </c>
      <c r="I193">
        <v>10</v>
      </c>
      <c r="J193" t="s">
        <v>2</v>
      </c>
      <c r="K193" t="s">
        <v>12</v>
      </c>
    </row>
    <row r="194" spans="1:11" x14ac:dyDescent="0.3">
      <c r="A194" s="65">
        <v>46227</v>
      </c>
      <c r="B194" t="s">
        <v>82</v>
      </c>
      <c r="C194">
        <v>42.7</v>
      </c>
      <c r="D194">
        <v>51.21</v>
      </c>
      <c r="E194">
        <v>20</v>
      </c>
      <c r="F194">
        <v>20</v>
      </c>
      <c r="G194">
        <v>49</v>
      </c>
      <c r="H194">
        <v>336490</v>
      </c>
      <c r="I194">
        <v>8</v>
      </c>
      <c r="J194" t="s">
        <v>48</v>
      </c>
      <c r="K194" t="s">
        <v>12</v>
      </c>
    </row>
    <row r="195" spans="1:11" x14ac:dyDescent="0.3">
      <c r="A195" s="65">
        <v>46227</v>
      </c>
      <c r="B195" t="s">
        <v>82</v>
      </c>
      <c r="C195">
        <v>20.2</v>
      </c>
      <c r="D195">
        <v>53.5</v>
      </c>
      <c r="E195">
        <v>20</v>
      </c>
      <c r="F195">
        <v>20</v>
      </c>
      <c r="G195">
        <v>49</v>
      </c>
      <c r="H195">
        <v>337431</v>
      </c>
      <c r="I195">
        <v>4</v>
      </c>
      <c r="J195" t="s">
        <v>48</v>
      </c>
      <c r="K195" t="s">
        <v>12</v>
      </c>
    </row>
    <row r="196" spans="1:11" x14ac:dyDescent="0.3">
      <c r="A196" s="65">
        <v>46227</v>
      </c>
      <c r="B196" t="s">
        <v>82</v>
      </c>
      <c r="C196">
        <v>20.2</v>
      </c>
      <c r="D196">
        <v>52.95</v>
      </c>
      <c r="E196">
        <v>20</v>
      </c>
      <c r="F196">
        <v>20</v>
      </c>
      <c r="G196">
        <v>58</v>
      </c>
      <c r="H196">
        <v>337675</v>
      </c>
      <c r="I196">
        <v>5</v>
      </c>
      <c r="J196" t="s">
        <v>48</v>
      </c>
      <c r="K196" t="s">
        <v>12</v>
      </c>
    </row>
    <row r="197" spans="1:11" x14ac:dyDescent="0.3">
      <c r="A197" s="65">
        <v>46227</v>
      </c>
      <c r="B197" t="s">
        <v>82</v>
      </c>
      <c r="C197">
        <v>2.2000000000000002</v>
      </c>
      <c r="D197">
        <v>52.47</v>
      </c>
      <c r="E197">
        <v>20</v>
      </c>
      <c r="F197">
        <v>20</v>
      </c>
      <c r="G197">
        <v>33</v>
      </c>
      <c r="H197">
        <v>337899</v>
      </c>
      <c r="I197">
        <v>3</v>
      </c>
      <c r="J197" t="s">
        <v>48</v>
      </c>
      <c r="K197" t="s">
        <v>12</v>
      </c>
    </row>
    <row r="198" spans="1:11" x14ac:dyDescent="0.3">
      <c r="A198" s="65">
        <v>46227</v>
      </c>
      <c r="B198" t="s">
        <v>82</v>
      </c>
      <c r="C198">
        <v>14.1</v>
      </c>
      <c r="D198">
        <v>51.68</v>
      </c>
      <c r="E198">
        <v>20</v>
      </c>
      <c r="F198">
        <v>20</v>
      </c>
      <c r="G198">
        <v>31</v>
      </c>
      <c r="H198">
        <v>338078</v>
      </c>
      <c r="I198">
        <v>4</v>
      </c>
      <c r="J198" t="s">
        <v>48</v>
      </c>
      <c r="K198" t="s">
        <v>12</v>
      </c>
    </row>
    <row r="199" spans="1:11" x14ac:dyDescent="0.3">
      <c r="A199" s="65">
        <v>46227</v>
      </c>
      <c r="B199" t="s">
        <v>82</v>
      </c>
      <c r="C199">
        <v>3.3</v>
      </c>
      <c r="D199">
        <v>50.91</v>
      </c>
      <c r="E199">
        <v>20</v>
      </c>
      <c r="F199">
        <v>20</v>
      </c>
      <c r="G199">
        <v>32</v>
      </c>
      <c r="H199">
        <v>338247</v>
      </c>
      <c r="I199">
        <v>4</v>
      </c>
      <c r="J199" t="s">
        <v>48</v>
      </c>
      <c r="K199" t="s">
        <v>12</v>
      </c>
    </row>
    <row r="200" spans="1:11" x14ac:dyDescent="0.3">
      <c r="A200" s="65">
        <v>46227</v>
      </c>
      <c r="B200" t="s">
        <v>82</v>
      </c>
      <c r="C200">
        <v>17.2</v>
      </c>
      <c r="D200">
        <v>51.67</v>
      </c>
      <c r="E200">
        <v>20</v>
      </c>
      <c r="F200">
        <v>20</v>
      </c>
      <c r="G200">
        <v>36</v>
      </c>
      <c r="H200">
        <v>338416</v>
      </c>
      <c r="I200">
        <v>3</v>
      </c>
      <c r="J200" t="s">
        <v>48</v>
      </c>
      <c r="K200" t="s">
        <v>12</v>
      </c>
    </row>
    <row r="201" spans="1:11" x14ac:dyDescent="0.3">
      <c r="A201" s="65">
        <v>46227</v>
      </c>
      <c r="B201" t="s">
        <v>13</v>
      </c>
      <c r="C201">
        <v>16</v>
      </c>
      <c r="D201">
        <v>56</v>
      </c>
      <c r="E201">
        <v>21.23</v>
      </c>
      <c r="F201">
        <v>0</v>
      </c>
      <c r="G201">
        <v>9</v>
      </c>
      <c r="H201">
        <v>0</v>
      </c>
      <c r="I201">
        <v>36</v>
      </c>
      <c r="J201" t="s">
        <v>48</v>
      </c>
      <c r="K201" t="s">
        <v>13</v>
      </c>
    </row>
    <row r="202" spans="1:11" x14ac:dyDescent="0.3">
      <c r="A202" s="65">
        <v>46227</v>
      </c>
      <c r="B202" t="s">
        <v>206</v>
      </c>
      <c r="C202">
        <v>23.13</v>
      </c>
      <c r="D202">
        <v>36.520000000000003</v>
      </c>
      <c r="E202">
        <v>20</v>
      </c>
      <c r="F202">
        <v>0</v>
      </c>
      <c r="G202">
        <v>10</v>
      </c>
      <c r="H202">
        <v>0</v>
      </c>
      <c r="I202">
        <v>40</v>
      </c>
      <c r="J202" t="s">
        <v>48</v>
      </c>
      <c r="K202" t="s">
        <v>11</v>
      </c>
    </row>
    <row r="203" spans="1:11" x14ac:dyDescent="0.3">
      <c r="A203" s="65">
        <v>46227</v>
      </c>
      <c r="B203" t="s">
        <v>207</v>
      </c>
      <c r="C203">
        <v>3.12</v>
      </c>
      <c r="D203">
        <v>20.059999999999999</v>
      </c>
      <c r="E203">
        <v>20</v>
      </c>
      <c r="F203">
        <v>0</v>
      </c>
      <c r="G203">
        <v>10</v>
      </c>
      <c r="H203">
        <v>0</v>
      </c>
      <c r="I203">
        <v>40</v>
      </c>
      <c r="J203" t="s">
        <v>48</v>
      </c>
      <c r="K203" t="s">
        <v>11</v>
      </c>
    </row>
    <row r="204" spans="1:11" x14ac:dyDescent="0.3">
      <c r="A204" s="65">
        <v>46227</v>
      </c>
      <c r="B204" t="s">
        <v>206</v>
      </c>
      <c r="C204">
        <v>16.14</v>
      </c>
      <c r="D204">
        <v>37.18</v>
      </c>
      <c r="E204">
        <v>20</v>
      </c>
      <c r="F204">
        <v>0</v>
      </c>
      <c r="G204">
        <v>10</v>
      </c>
      <c r="H204">
        <v>0</v>
      </c>
      <c r="I204">
        <v>40</v>
      </c>
      <c r="J204" t="s">
        <v>48</v>
      </c>
      <c r="K204" t="s">
        <v>11</v>
      </c>
    </row>
    <row r="205" spans="1:11" x14ac:dyDescent="0.3">
      <c r="A205" s="65">
        <v>46227</v>
      </c>
      <c r="B205" t="s">
        <v>207</v>
      </c>
      <c r="C205">
        <v>2.54</v>
      </c>
      <c r="D205">
        <v>23.04</v>
      </c>
      <c r="E205">
        <v>20</v>
      </c>
      <c r="F205">
        <v>0</v>
      </c>
      <c r="G205">
        <v>10</v>
      </c>
      <c r="H205">
        <v>0</v>
      </c>
      <c r="I205">
        <v>40</v>
      </c>
      <c r="J205" t="s">
        <v>48</v>
      </c>
      <c r="K205" t="s">
        <v>11</v>
      </c>
    </row>
    <row r="206" spans="1:11" x14ac:dyDescent="0.3">
      <c r="A206" s="65">
        <v>46227</v>
      </c>
      <c r="B206" t="s">
        <v>206</v>
      </c>
      <c r="C206">
        <v>17.350000000000001</v>
      </c>
      <c r="D206">
        <v>36.270000000000003</v>
      </c>
      <c r="E206">
        <v>20</v>
      </c>
      <c r="F206">
        <v>0</v>
      </c>
      <c r="G206">
        <v>10</v>
      </c>
      <c r="H206">
        <v>0</v>
      </c>
      <c r="I206">
        <v>40</v>
      </c>
      <c r="J206" t="s">
        <v>48</v>
      </c>
      <c r="K206" t="s">
        <v>11</v>
      </c>
    </row>
    <row r="207" spans="1:11" x14ac:dyDescent="0.3">
      <c r="A207" s="65">
        <v>46227</v>
      </c>
      <c r="B207" t="s">
        <v>207</v>
      </c>
      <c r="C207">
        <v>4.43</v>
      </c>
      <c r="D207">
        <v>19.73</v>
      </c>
      <c r="E207">
        <v>20</v>
      </c>
      <c r="F207">
        <v>0</v>
      </c>
      <c r="G207">
        <v>10</v>
      </c>
      <c r="H207">
        <v>0</v>
      </c>
      <c r="I207">
        <v>40</v>
      </c>
      <c r="J207" t="s">
        <v>48</v>
      </c>
      <c r="K207" t="s">
        <v>11</v>
      </c>
    </row>
    <row r="208" spans="1:11" x14ac:dyDescent="0.3">
      <c r="A208" s="65">
        <v>46227</v>
      </c>
      <c r="B208" t="s">
        <v>206</v>
      </c>
      <c r="C208">
        <v>17.350000000000001</v>
      </c>
      <c r="D208">
        <v>36.270000000000003</v>
      </c>
      <c r="E208">
        <v>20</v>
      </c>
      <c r="F208">
        <v>0</v>
      </c>
      <c r="G208">
        <v>10</v>
      </c>
      <c r="H208">
        <v>0</v>
      </c>
      <c r="I208">
        <v>40</v>
      </c>
      <c r="J208" t="s">
        <v>48</v>
      </c>
      <c r="K208" t="s">
        <v>11</v>
      </c>
    </row>
    <row r="209" spans="1:11" x14ac:dyDescent="0.3">
      <c r="A209" s="65">
        <v>46227</v>
      </c>
      <c r="B209" t="s">
        <v>207</v>
      </c>
      <c r="C209">
        <v>4.43</v>
      </c>
      <c r="D209">
        <v>19.73</v>
      </c>
      <c r="E209">
        <v>20</v>
      </c>
      <c r="F209">
        <v>0</v>
      </c>
      <c r="G209">
        <v>10</v>
      </c>
      <c r="H209">
        <v>0</v>
      </c>
      <c r="I209">
        <v>40</v>
      </c>
      <c r="J209" t="s">
        <v>48</v>
      </c>
      <c r="K209" t="s">
        <v>11</v>
      </c>
    </row>
    <row r="210" spans="1:11" x14ac:dyDescent="0.3">
      <c r="A210" s="65">
        <v>46227</v>
      </c>
      <c r="B210" t="s">
        <v>206</v>
      </c>
      <c r="C210">
        <v>17.350000000000001</v>
      </c>
      <c r="D210">
        <v>36.270000000000003</v>
      </c>
      <c r="E210">
        <v>20</v>
      </c>
      <c r="F210">
        <v>0</v>
      </c>
      <c r="G210">
        <v>10</v>
      </c>
      <c r="H210">
        <v>0</v>
      </c>
      <c r="I210">
        <v>40</v>
      </c>
      <c r="J210" t="s">
        <v>48</v>
      </c>
      <c r="K210" t="s">
        <v>11</v>
      </c>
    </row>
    <row r="211" spans="1:11" x14ac:dyDescent="0.3">
      <c r="A211" s="65">
        <v>46227</v>
      </c>
      <c r="B211" t="s">
        <v>207</v>
      </c>
      <c r="C211">
        <v>4.43</v>
      </c>
      <c r="D211">
        <v>19.73</v>
      </c>
      <c r="E211">
        <v>20</v>
      </c>
      <c r="F211">
        <v>0</v>
      </c>
      <c r="G211">
        <v>10</v>
      </c>
      <c r="H211">
        <v>0</v>
      </c>
      <c r="I211">
        <v>40</v>
      </c>
      <c r="J211" t="s">
        <v>48</v>
      </c>
      <c r="K211" t="s">
        <v>11</v>
      </c>
    </row>
    <row r="212" spans="1:11" x14ac:dyDescent="0.3">
      <c r="A212" s="65">
        <v>46226</v>
      </c>
      <c r="B212" t="s">
        <v>82</v>
      </c>
      <c r="C212">
        <v>70.5</v>
      </c>
      <c r="D212">
        <v>50.86</v>
      </c>
      <c r="E212">
        <v>20</v>
      </c>
      <c r="F212">
        <v>20</v>
      </c>
      <c r="G212">
        <v>45</v>
      </c>
      <c r="H212">
        <v>318026</v>
      </c>
      <c r="I212">
        <v>8</v>
      </c>
      <c r="J212" t="s">
        <v>133</v>
      </c>
      <c r="K212" t="s">
        <v>12</v>
      </c>
    </row>
    <row r="213" spans="1:11" x14ac:dyDescent="0.3">
      <c r="A213" s="65">
        <v>46226</v>
      </c>
      <c r="B213" t="s">
        <v>82</v>
      </c>
      <c r="C213">
        <v>96.7</v>
      </c>
      <c r="D213">
        <v>50.67</v>
      </c>
      <c r="E213">
        <v>20</v>
      </c>
      <c r="F213">
        <v>20</v>
      </c>
      <c r="G213">
        <v>120</v>
      </c>
      <c r="H213">
        <v>318164</v>
      </c>
      <c r="I213">
        <v>13</v>
      </c>
      <c r="J213" t="s">
        <v>2</v>
      </c>
      <c r="K213" t="s">
        <v>12</v>
      </c>
    </row>
    <row r="214" spans="1:11" x14ac:dyDescent="0.3">
      <c r="A214" s="65">
        <v>46226</v>
      </c>
      <c r="B214" t="s">
        <v>82</v>
      </c>
      <c r="C214">
        <v>81.8</v>
      </c>
      <c r="D214">
        <v>49.98</v>
      </c>
      <c r="E214">
        <v>20</v>
      </c>
      <c r="F214">
        <v>20</v>
      </c>
      <c r="G214">
        <v>108</v>
      </c>
      <c r="H214">
        <v>318201</v>
      </c>
      <c r="I214">
        <v>11</v>
      </c>
      <c r="J214" t="s">
        <v>133</v>
      </c>
      <c r="K214" t="s">
        <v>12</v>
      </c>
    </row>
    <row r="215" spans="1:11" x14ac:dyDescent="0.3">
      <c r="A215" s="65">
        <v>46226</v>
      </c>
      <c r="B215" t="s">
        <v>82</v>
      </c>
      <c r="C215">
        <v>95.6</v>
      </c>
      <c r="D215">
        <v>50.03</v>
      </c>
      <c r="E215">
        <v>20</v>
      </c>
      <c r="F215">
        <v>20</v>
      </c>
      <c r="G215">
        <v>62</v>
      </c>
      <c r="H215">
        <v>318587</v>
      </c>
      <c r="I215">
        <v>16</v>
      </c>
      <c r="J215" t="s">
        <v>2</v>
      </c>
      <c r="K215" t="s">
        <v>12</v>
      </c>
    </row>
    <row r="216" spans="1:11" x14ac:dyDescent="0.3">
      <c r="A216" s="65">
        <v>46226</v>
      </c>
      <c r="B216" t="s">
        <v>82</v>
      </c>
      <c r="C216">
        <v>57.9</v>
      </c>
      <c r="D216">
        <v>50.14</v>
      </c>
      <c r="E216">
        <v>20</v>
      </c>
      <c r="F216">
        <v>20</v>
      </c>
      <c r="G216">
        <v>50</v>
      </c>
      <c r="H216">
        <v>319879</v>
      </c>
      <c r="I216">
        <v>7</v>
      </c>
      <c r="J216" t="s">
        <v>48</v>
      </c>
      <c r="K216" t="s">
        <v>12</v>
      </c>
    </row>
    <row r="217" spans="1:11" x14ac:dyDescent="0.3">
      <c r="A217" s="65">
        <v>46226</v>
      </c>
      <c r="B217" t="s">
        <v>82</v>
      </c>
      <c r="C217">
        <v>1.1000000000000001</v>
      </c>
      <c r="D217">
        <v>48.89</v>
      </c>
      <c r="E217">
        <v>20</v>
      </c>
      <c r="F217">
        <v>20</v>
      </c>
      <c r="G217">
        <v>43</v>
      </c>
      <c r="H217">
        <v>320581</v>
      </c>
      <c r="I217">
        <v>3</v>
      </c>
      <c r="J217" t="s">
        <v>48</v>
      </c>
      <c r="K217" t="s">
        <v>12</v>
      </c>
    </row>
    <row r="218" spans="1:11" x14ac:dyDescent="0.3">
      <c r="A218" s="65">
        <v>46226</v>
      </c>
      <c r="B218" t="s">
        <v>82</v>
      </c>
      <c r="C218">
        <v>1.1000000000000001</v>
      </c>
      <c r="D218">
        <v>51.72</v>
      </c>
      <c r="E218">
        <v>20</v>
      </c>
      <c r="F218">
        <v>20</v>
      </c>
      <c r="G218">
        <v>36</v>
      </c>
      <c r="H218">
        <v>320624</v>
      </c>
      <c r="I218">
        <v>4</v>
      </c>
      <c r="J218" t="s">
        <v>48</v>
      </c>
      <c r="K218" t="s">
        <v>12</v>
      </c>
    </row>
    <row r="219" spans="1:11" x14ac:dyDescent="0.3">
      <c r="A219" s="65">
        <v>46226</v>
      </c>
      <c r="B219" t="s">
        <v>82</v>
      </c>
      <c r="C219">
        <v>14.4</v>
      </c>
      <c r="D219">
        <v>50.87</v>
      </c>
      <c r="E219">
        <v>20</v>
      </c>
      <c r="F219">
        <v>20</v>
      </c>
      <c r="G219">
        <v>34</v>
      </c>
      <c r="H219">
        <v>320645</v>
      </c>
      <c r="I219">
        <v>5</v>
      </c>
      <c r="J219" t="s">
        <v>48</v>
      </c>
      <c r="K219" t="s">
        <v>12</v>
      </c>
    </row>
    <row r="220" spans="1:11" x14ac:dyDescent="0.3">
      <c r="A220" s="65">
        <v>46226</v>
      </c>
      <c r="B220" t="s">
        <v>82</v>
      </c>
      <c r="C220">
        <v>32.6</v>
      </c>
      <c r="D220">
        <v>49.16</v>
      </c>
      <c r="E220">
        <v>20</v>
      </c>
      <c r="F220">
        <v>20</v>
      </c>
      <c r="G220">
        <v>37</v>
      </c>
      <c r="H220">
        <v>320730</v>
      </c>
      <c r="I220">
        <v>5</v>
      </c>
      <c r="J220" t="s">
        <v>48</v>
      </c>
      <c r="K220" t="s">
        <v>12</v>
      </c>
    </row>
    <row r="221" spans="1:11" x14ac:dyDescent="0.3">
      <c r="A221" s="65">
        <v>46226</v>
      </c>
      <c r="B221" t="s">
        <v>82</v>
      </c>
      <c r="C221">
        <v>1.1000000000000001</v>
      </c>
      <c r="D221">
        <v>50.44</v>
      </c>
      <c r="E221">
        <v>20</v>
      </c>
      <c r="F221">
        <v>20</v>
      </c>
      <c r="G221">
        <v>40</v>
      </c>
      <c r="H221">
        <v>320753</v>
      </c>
      <c r="I221">
        <v>5</v>
      </c>
      <c r="J221" t="s">
        <v>48</v>
      </c>
      <c r="K221" t="s">
        <v>12</v>
      </c>
    </row>
    <row r="222" spans="1:11" x14ac:dyDescent="0.3">
      <c r="A222" s="65">
        <v>46226</v>
      </c>
      <c r="B222" t="s">
        <v>82</v>
      </c>
      <c r="C222">
        <v>15.7</v>
      </c>
      <c r="D222">
        <v>49.62</v>
      </c>
      <c r="E222">
        <v>20</v>
      </c>
      <c r="F222">
        <v>20</v>
      </c>
      <c r="G222">
        <v>32</v>
      </c>
      <c r="H222">
        <v>320761</v>
      </c>
      <c r="I222">
        <v>4</v>
      </c>
      <c r="J222" t="s">
        <v>48</v>
      </c>
      <c r="K222" t="s">
        <v>12</v>
      </c>
    </row>
    <row r="223" spans="1:11" x14ac:dyDescent="0.3">
      <c r="A223" s="65">
        <v>46226</v>
      </c>
      <c r="B223" t="s">
        <v>82</v>
      </c>
      <c r="C223">
        <v>24.2</v>
      </c>
      <c r="D223">
        <v>49.58</v>
      </c>
      <c r="E223">
        <v>20</v>
      </c>
      <c r="F223">
        <v>20</v>
      </c>
      <c r="G223">
        <v>30</v>
      </c>
      <c r="H223">
        <v>320768</v>
      </c>
      <c r="I223">
        <v>5</v>
      </c>
      <c r="J223" t="s">
        <v>48</v>
      </c>
      <c r="K223" t="s">
        <v>12</v>
      </c>
    </row>
    <row r="224" spans="1:11" x14ac:dyDescent="0.3">
      <c r="A224" s="65">
        <v>46226</v>
      </c>
      <c r="B224" t="s">
        <v>82</v>
      </c>
      <c r="C224">
        <v>18</v>
      </c>
      <c r="D224">
        <v>50.98</v>
      </c>
      <c r="E224">
        <v>20</v>
      </c>
      <c r="F224">
        <v>20</v>
      </c>
      <c r="G224">
        <v>36</v>
      </c>
      <c r="H224">
        <v>320780</v>
      </c>
      <c r="I224">
        <v>3</v>
      </c>
      <c r="J224" t="s">
        <v>48</v>
      </c>
      <c r="K224" t="s">
        <v>12</v>
      </c>
    </row>
    <row r="225" spans="1:11" x14ac:dyDescent="0.3">
      <c r="A225" s="65">
        <v>46226</v>
      </c>
      <c r="B225" t="s">
        <v>82</v>
      </c>
      <c r="C225">
        <v>7.8</v>
      </c>
      <c r="D225">
        <v>50.17</v>
      </c>
      <c r="E225">
        <v>20</v>
      </c>
      <c r="F225">
        <v>20</v>
      </c>
      <c r="G225">
        <v>33</v>
      </c>
      <c r="H225">
        <v>320785</v>
      </c>
      <c r="I225">
        <v>3</v>
      </c>
      <c r="J225" t="s">
        <v>48</v>
      </c>
      <c r="K225" t="s">
        <v>12</v>
      </c>
    </row>
    <row r="226" spans="1:11" x14ac:dyDescent="0.3">
      <c r="A226" s="65">
        <v>46226</v>
      </c>
      <c r="B226" t="s">
        <v>13</v>
      </c>
      <c r="C226">
        <v>22</v>
      </c>
      <c r="D226">
        <v>57</v>
      </c>
      <c r="E226">
        <v>21.18</v>
      </c>
      <c r="F226">
        <v>0</v>
      </c>
      <c r="G226">
        <v>7</v>
      </c>
      <c r="H226">
        <v>0</v>
      </c>
      <c r="I226">
        <v>30</v>
      </c>
      <c r="J226" t="s">
        <v>48</v>
      </c>
      <c r="K226" t="s">
        <v>13</v>
      </c>
    </row>
    <row r="227" spans="1:11" x14ac:dyDescent="0.3">
      <c r="A227" s="65">
        <v>46226</v>
      </c>
      <c r="B227" t="s">
        <v>206</v>
      </c>
      <c r="C227">
        <v>22.13</v>
      </c>
      <c r="D227">
        <v>36.020000000000003</v>
      </c>
      <c r="E227">
        <v>20</v>
      </c>
      <c r="F227">
        <v>0</v>
      </c>
      <c r="G227">
        <v>10</v>
      </c>
      <c r="H227">
        <v>0</v>
      </c>
      <c r="I227">
        <v>40</v>
      </c>
      <c r="J227" t="s">
        <v>48</v>
      </c>
      <c r="K227" t="s">
        <v>11</v>
      </c>
    </row>
    <row r="228" spans="1:11" x14ac:dyDescent="0.3">
      <c r="A228" s="65">
        <v>46226</v>
      </c>
      <c r="B228" t="s">
        <v>207</v>
      </c>
      <c r="C228">
        <v>2.12</v>
      </c>
      <c r="D228">
        <v>19.559999999999999</v>
      </c>
      <c r="E228">
        <v>20</v>
      </c>
      <c r="F228">
        <v>0</v>
      </c>
      <c r="G228">
        <v>10</v>
      </c>
      <c r="H228">
        <v>0</v>
      </c>
      <c r="I228">
        <v>40</v>
      </c>
      <c r="J228" t="s">
        <v>48</v>
      </c>
      <c r="K228" t="s">
        <v>11</v>
      </c>
    </row>
    <row r="229" spans="1:11" x14ac:dyDescent="0.3">
      <c r="A229" s="65">
        <v>46226</v>
      </c>
      <c r="B229" t="s">
        <v>206</v>
      </c>
      <c r="C229">
        <v>15.14</v>
      </c>
      <c r="D229">
        <v>36.68</v>
      </c>
      <c r="E229">
        <v>20</v>
      </c>
      <c r="F229">
        <v>0</v>
      </c>
      <c r="G229">
        <v>10</v>
      </c>
      <c r="H229">
        <v>0</v>
      </c>
      <c r="I229">
        <v>40</v>
      </c>
      <c r="J229" t="s">
        <v>48</v>
      </c>
      <c r="K229" t="s">
        <v>11</v>
      </c>
    </row>
    <row r="230" spans="1:11" x14ac:dyDescent="0.3">
      <c r="A230" s="65">
        <v>46226</v>
      </c>
      <c r="B230" t="s">
        <v>207</v>
      </c>
      <c r="C230">
        <v>1.54</v>
      </c>
      <c r="D230">
        <v>22.54</v>
      </c>
      <c r="E230">
        <v>20</v>
      </c>
      <c r="F230">
        <v>0</v>
      </c>
      <c r="G230">
        <v>10</v>
      </c>
      <c r="H230">
        <v>0</v>
      </c>
      <c r="I230">
        <v>40</v>
      </c>
      <c r="J230" t="s">
        <v>48</v>
      </c>
      <c r="K230" t="s">
        <v>11</v>
      </c>
    </row>
    <row r="231" spans="1:11" x14ac:dyDescent="0.3">
      <c r="A231" s="65">
        <v>46226</v>
      </c>
      <c r="B231" t="s">
        <v>206</v>
      </c>
      <c r="C231">
        <v>16.350000000000001</v>
      </c>
      <c r="D231">
        <v>35.770000000000003</v>
      </c>
      <c r="E231">
        <v>20</v>
      </c>
      <c r="F231">
        <v>0</v>
      </c>
      <c r="G231">
        <v>10</v>
      </c>
      <c r="H231">
        <v>0</v>
      </c>
      <c r="I231">
        <v>40</v>
      </c>
      <c r="J231" t="s">
        <v>48</v>
      </c>
      <c r="K231" t="s">
        <v>11</v>
      </c>
    </row>
    <row r="232" spans="1:11" x14ac:dyDescent="0.3">
      <c r="A232" s="65">
        <v>46226</v>
      </c>
      <c r="B232" t="s">
        <v>207</v>
      </c>
      <c r="C232">
        <v>3.43</v>
      </c>
      <c r="D232">
        <v>19.23</v>
      </c>
      <c r="E232">
        <v>20</v>
      </c>
      <c r="F232">
        <v>0</v>
      </c>
      <c r="G232">
        <v>10</v>
      </c>
      <c r="H232">
        <v>0</v>
      </c>
      <c r="I232">
        <v>40</v>
      </c>
      <c r="J232" t="s">
        <v>48</v>
      </c>
      <c r="K232" t="s">
        <v>11</v>
      </c>
    </row>
    <row r="233" spans="1:11" x14ac:dyDescent="0.3">
      <c r="A233" s="65">
        <v>46226</v>
      </c>
      <c r="B233" t="s">
        <v>206</v>
      </c>
      <c r="C233">
        <v>16.350000000000001</v>
      </c>
      <c r="D233">
        <v>35.770000000000003</v>
      </c>
      <c r="E233">
        <v>20</v>
      </c>
      <c r="F233">
        <v>0</v>
      </c>
      <c r="G233">
        <v>10</v>
      </c>
      <c r="H233">
        <v>0</v>
      </c>
      <c r="I233">
        <v>40</v>
      </c>
      <c r="J233" t="s">
        <v>48</v>
      </c>
      <c r="K233" t="s">
        <v>11</v>
      </c>
    </row>
    <row r="234" spans="1:11" x14ac:dyDescent="0.3">
      <c r="A234" s="65">
        <v>46226</v>
      </c>
      <c r="B234" t="s">
        <v>207</v>
      </c>
      <c r="C234">
        <v>3.43</v>
      </c>
      <c r="D234">
        <v>19.23</v>
      </c>
      <c r="E234">
        <v>20</v>
      </c>
      <c r="F234">
        <v>0</v>
      </c>
      <c r="G234">
        <v>10</v>
      </c>
      <c r="H234">
        <v>0</v>
      </c>
      <c r="I234">
        <v>40</v>
      </c>
      <c r="J234" t="s">
        <v>48</v>
      </c>
      <c r="K234" t="s">
        <v>11</v>
      </c>
    </row>
    <row r="235" spans="1:11" x14ac:dyDescent="0.3">
      <c r="A235" s="65">
        <v>46226</v>
      </c>
      <c r="B235" t="s">
        <v>206</v>
      </c>
      <c r="C235">
        <v>16.350000000000001</v>
      </c>
      <c r="D235">
        <v>35.770000000000003</v>
      </c>
      <c r="E235">
        <v>20</v>
      </c>
      <c r="F235">
        <v>0</v>
      </c>
      <c r="G235">
        <v>10</v>
      </c>
      <c r="H235">
        <v>0</v>
      </c>
      <c r="I235">
        <v>40</v>
      </c>
      <c r="J235" t="s">
        <v>48</v>
      </c>
      <c r="K235" t="s">
        <v>11</v>
      </c>
    </row>
    <row r="236" spans="1:11" x14ac:dyDescent="0.3">
      <c r="A236" s="65">
        <v>46226</v>
      </c>
      <c r="B236" t="s">
        <v>207</v>
      </c>
      <c r="C236">
        <v>3.43</v>
      </c>
      <c r="D236">
        <v>19.23</v>
      </c>
      <c r="E236">
        <v>20</v>
      </c>
      <c r="F236">
        <v>0</v>
      </c>
      <c r="G236">
        <v>10</v>
      </c>
      <c r="H236">
        <v>0</v>
      </c>
      <c r="I236">
        <v>40</v>
      </c>
      <c r="J236" t="s">
        <v>48</v>
      </c>
      <c r="K236" t="s">
        <v>11</v>
      </c>
    </row>
    <row r="237" spans="1:11" x14ac:dyDescent="0.3">
      <c r="A237" s="65">
        <v>46225</v>
      </c>
      <c r="B237" t="s">
        <v>82</v>
      </c>
      <c r="C237">
        <v>42</v>
      </c>
      <c r="D237">
        <v>81.59</v>
      </c>
      <c r="E237">
        <v>20</v>
      </c>
      <c r="F237">
        <v>20</v>
      </c>
      <c r="G237">
        <v>40</v>
      </c>
      <c r="H237">
        <v>297386</v>
      </c>
      <c r="I237">
        <v>5</v>
      </c>
      <c r="J237" t="s">
        <v>133</v>
      </c>
      <c r="K237" t="s">
        <v>12</v>
      </c>
    </row>
    <row r="238" spans="1:11" x14ac:dyDescent="0.3">
      <c r="A238" s="65">
        <v>46225</v>
      </c>
      <c r="B238" t="s">
        <v>82</v>
      </c>
      <c r="C238">
        <v>16.899999999999999</v>
      </c>
      <c r="D238">
        <v>48.98</v>
      </c>
      <c r="E238">
        <v>20</v>
      </c>
      <c r="F238">
        <v>20</v>
      </c>
      <c r="G238">
        <v>0</v>
      </c>
      <c r="H238">
        <v>0</v>
      </c>
      <c r="I238">
        <v>0</v>
      </c>
      <c r="J238" t="s">
        <v>48</v>
      </c>
      <c r="K238" t="s">
        <v>12</v>
      </c>
    </row>
    <row r="239" spans="1:11" x14ac:dyDescent="0.3">
      <c r="A239" s="65">
        <v>46225</v>
      </c>
      <c r="B239" t="s">
        <v>82</v>
      </c>
      <c r="C239">
        <v>50.6</v>
      </c>
      <c r="D239">
        <v>46.71</v>
      </c>
      <c r="E239">
        <v>20</v>
      </c>
      <c r="F239">
        <v>20</v>
      </c>
      <c r="G239">
        <v>77</v>
      </c>
      <c r="H239">
        <v>302180</v>
      </c>
      <c r="I239">
        <v>9</v>
      </c>
      <c r="J239" t="s">
        <v>48</v>
      </c>
      <c r="K239" t="s">
        <v>12</v>
      </c>
    </row>
    <row r="240" spans="1:11" x14ac:dyDescent="0.3">
      <c r="A240" s="65">
        <v>46225</v>
      </c>
      <c r="B240" t="s">
        <v>82</v>
      </c>
      <c r="C240">
        <v>31</v>
      </c>
      <c r="D240">
        <v>50.43</v>
      </c>
      <c r="E240">
        <v>20</v>
      </c>
      <c r="F240">
        <v>20</v>
      </c>
      <c r="G240">
        <v>0</v>
      </c>
      <c r="H240">
        <v>0</v>
      </c>
      <c r="I240">
        <v>0</v>
      </c>
      <c r="J240" t="s">
        <v>48</v>
      </c>
      <c r="K240" t="s">
        <v>12</v>
      </c>
    </row>
    <row r="241" spans="1:11" x14ac:dyDescent="0.3">
      <c r="A241" s="65">
        <v>46225</v>
      </c>
      <c r="B241" t="s">
        <v>82</v>
      </c>
      <c r="C241">
        <v>31.5</v>
      </c>
      <c r="D241">
        <v>48.58</v>
      </c>
      <c r="E241">
        <v>20</v>
      </c>
      <c r="F241">
        <v>20</v>
      </c>
      <c r="G241">
        <v>77</v>
      </c>
      <c r="H241">
        <v>302185</v>
      </c>
      <c r="I241">
        <v>8</v>
      </c>
      <c r="J241" t="s">
        <v>48</v>
      </c>
      <c r="K241" t="s">
        <v>12</v>
      </c>
    </row>
    <row r="242" spans="1:11" x14ac:dyDescent="0.3">
      <c r="A242" s="65">
        <v>46225</v>
      </c>
      <c r="B242" t="s">
        <v>13</v>
      </c>
      <c r="C242">
        <v>13</v>
      </c>
      <c r="D242">
        <v>53</v>
      </c>
      <c r="E242">
        <v>21.13</v>
      </c>
      <c r="F242">
        <v>0</v>
      </c>
      <c r="G242">
        <v>5</v>
      </c>
      <c r="H242">
        <v>0</v>
      </c>
      <c r="I242">
        <v>39</v>
      </c>
      <c r="J242" t="s">
        <v>48</v>
      </c>
      <c r="K242" t="s">
        <v>13</v>
      </c>
    </row>
    <row r="243" spans="1:11" x14ac:dyDescent="0.3">
      <c r="A243" s="65">
        <v>46225</v>
      </c>
      <c r="B243" t="s">
        <v>206</v>
      </c>
      <c r="C243">
        <v>21.13</v>
      </c>
      <c r="D243">
        <v>35.520000000000003</v>
      </c>
      <c r="E243">
        <v>20</v>
      </c>
      <c r="F243">
        <v>0</v>
      </c>
      <c r="G243">
        <v>10</v>
      </c>
      <c r="H243">
        <v>0</v>
      </c>
      <c r="I243">
        <v>40</v>
      </c>
      <c r="J243" t="s">
        <v>48</v>
      </c>
      <c r="K243" t="s">
        <v>11</v>
      </c>
    </row>
    <row r="244" spans="1:11" x14ac:dyDescent="0.3">
      <c r="A244" s="65">
        <v>46225</v>
      </c>
      <c r="B244" t="s">
        <v>207</v>
      </c>
      <c r="C244">
        <v>1.1200000000000001</v>
      </c>
      <c r="D244">
        <v>19.059999999999999</v>
      </c>
      <c r="E244">
        <v>20</v>
      </c>
      <c r="F244">
        <v>0</v>
      </c>
      <c r="G244">
        <v>10</v>
      </c>
      <c r="H244">
        <v>0</v>
      </c>
      <c r="I244">
        <v>40</v>
      </c>
      <c r="J244" t="s">
        <v>48</v>
      </c>
      <c r="K244" t="s">
        <v>11</v>
      </c>
    </row>
    <row r="245" spans="1:11" x14ac:dyDescent="0.3">
      <c r="A245" s="65">
        <v>46225</v>
      </c>
      <c r="B245" t="s">
        <v>206</v>
      </c>
      <c r="C245">
        <v>14.14</v>
      </c>
      <c r="D245">
        <v>36.18</v>
      </c>
      <c r="E245">
        <v>20</v>
      </c>
      <c r="F245">
        <v>0</v>
      </c>
      <c r="G245">
        <v>10</v>
      </c>
      <c r="H245">
        <v>0</v>
      </c>
      <c r="I245">
        <v>40</v>
      </c>
      <c r="J245" t="s">
        <v>48</v>
      </c>
      <c r="K245" t="s">
        <v>11</v>
      </c>
    </row>
    <row r="246" spans="1:11" x14ac:dyDescent="0.3">
      <c r="A246" s="65">
        <v>46225</v>
      </c>
      <c r="B246" t="s">
        <v>207</v>
      </c>
      <c r="C246">
        <v>0.54</v>
      </c>
      <c r="D246">
        <v>22.04</v>
      </c>
      <c r="E246">
        <v>20</v>
      </c>
      <c r="F246">
        <v>0</v>
      </c>
      <c r="G246">
        <v>10</v>
      </c>
      <c r="H246">
        <v>0</v>
      </c>
      <c r="I246">
        <v>40</v>
      </c>
      <c r="J246" t="s">
        <v>48</v>
      </c>
      <c r="K246" t="s">
        <v>11</v>
      </c>
    </row>
    <row r="247" spans="1:11" x14ac:dyDescent="0.3">
      <c r="A247" s="65">
        <v>46225</v>
      </c>
      <c r="B247" t="s">
        <v>206</v>
      </c>
      <c r="C247">
        <v>15.35</v>
      </c>
      <c r="D247">
        <v>35.270000000000003</v>
      </c>
      <c r="E247">
        <v>20</v>
      </c>
      <c r="F247">
        <v>0</v>
      </c>
      <c r="G247">
        <v>10</v>
      </c>
      <c r="H247">
        <v>0</v>
      </c>
      <c r="I247">
        <v>40</v>
      </c>
      <c r="J247" t="s">
        <v>48</v>
      </c>
      <c r="K247" t="s">
        <v>11</v>
      </c>
    </row>
    <row r="248" spans="1:11" x14ac:dyDescent="0.3">
      <c r="A248" s="65">
        <v>46225</v>
      </c>
      <c r="B248" t="s">
        <v>207</v>
      </c>
      <c r="C248">
        <v>2.4300000000000002</v>
      </c>
      <c r="D248">
        <v>18.73</v>
      </c>
      <c r="E248">
        <v>20</v>
      </c>
      <c r="F248">
        <v>0</v>
      </c>
      <c r="G248">
        <v>10</v>
      </c>
      <c r="H248">
        <v>0</v>
      </c>
      <c r="I248">
        <v>40</v>
      </c>
      <c r="J248" t="s">
        <v>48</v>
      </c>
      <c r="K248" t="s">
        <v>11</v>
      </c>
    </row>
    <row r="249" spans="1:11" x14ac:dyDescent="0.3">
      <c r="A249" s="65">
        <v>46225</v>
      </c>
      <c r="B249" t="s">
        <v>206</v>
      </c>
      <c r="C249">
        <v>15.35</v>
      </c>
      <c r="D249">
        <v>35.270000000000003</v>
      </c>
      <c r="E249">
        <v>20</v>
      </c>
      <c r="F249">
        <v>0</v>
      </c>
      <c r="G249">
        <v>10</v>
      </c>
      <c r="H249">
        <v>0</v>
      </c>
      <c r="I249">
        <v>40</v>
      </c>
      <c r="J249" t="s">
        <v>48</v>
      </c>
      <c r="K249" t="s">
        <v>11</v>
      </c>
    </row>
    <row r="250" spans="1:11" x14ac:dyDescent="0.3">
      <c r="A250" s="65">
        <v>46225</v>
      </c>
      <c r="B250" t="s">
        <v>207</v>
      </c>
      <c r="C250">
        <v>2.4300000000000002</v>
      </c>
      <c r="D250">
        <v>18.73</v>
      </c>
      <c r="E250">
        <v>20</v>
      </c>
      <c r="F250">
        <v>0</v>
      </c>
      <c r="G250">
        <v>10</v>
      </c>
      <c r="H250">
        <v>0</v>
      </c>
      <c r="I250">
        <v>40</v>
      </c>
      <c r="J250" t="s">
        <v>48</v>
      </c>
      <c r="K250" t="s">
        <v>11</v>
      </c>
    </row>
    <row r="251" spans="1:11" x14ac:dyDescent="0.3">
      <c r="A251" s="65">
        <v>46225</v>
      </c>
      <c r="B251" t="s">
        <v>206</v>
      </c>
      <c r="C251">
        <v>15.35</v>
      </c>
      <c r="D251">
        <v>35.270000000000003</v>
      </c>
      <c r="E251">
        <v>20</v>
      </c>
      <c r="F251">
        <v>0</v>
      </c>
      <c r="G251">
        <v>10</v>
      </c>
      <c r="H251">
        <v>0</v>
      </c>
      <c r="I251">
        <v>40</v>
      </c>
      <c r="J251" t="s">
        <v>48</v>
      </c>
      <c r="K251" t="s">
        <v>11</v>
      </c>
    </row>
    <row r="252" spans="1:11" x14ac:dyDescent="0.3">
      <c r="A252" s="65">
        <v>46225</v>
      </c>
      <c r="B252" t="s">
        <v>207</v>
      </c>
      <c r="C252">
        <v>2.4300000000000002</v>
      </c>
      <c r="D252">
        <v>18.73</v>
      </c>
      <c r="E252">
        <v>20</v>
      </c>
      <c r="F252">
        <v>0</v>
      </c>
      <c r="G252">
        <v>10</v>
      </c>
      <c r="H252">
        <v>0</v>
      </c>
      <c r="I252">
        <v>40</v>
      </c>
      <c r="J252" t="s">
        <v>48</v>
      </c>
      <c r="K252" t="s">
        <v>11</v>
      </c>
    </row>
    <row r="253" spans="1:11" x14ac:dyDescent="0.3">
      <c r="A253" s="65">
        <v>46224</v>
      </c>
      <c r="B253" t="s">
        <v>13</v>
      </c>
      <c r="C253">
        <v>17</v>
      </c>
      <c r="D253">
        <v>56</v>
      </c>
      <c r="E253">
        <v>21.08</v>
      </c>
      <c r="F253">
        <v>0</v>
      </c>
      <c r="G253">
        <v>5</v>
      </c>
      <c r="H253">
        <v>0</v>
      </c>
      <c r="I253">
        <v>30</v>
      </c>
      <c r="J253" t="s">
        <v>48</v>
      </c>
      <c r="K253" t="s">
        <v>13</v>
      </c>
    </row>
    <row r="254" spans="1:11" x14ac:dyDescent="0.3">
      <c r="A254" s="65">
        <v>46224</v>
      </c>
      <c r="B254" t="s">
        <v>206</v>
      </c>
      <c r="C254">
        <v>20.13</v>
      </c>
      <c r="D254">
        <v>35.020000000000003</v>
      </c>
      <c r="E254">
        <v>20</v>
      </c>
      <c r="F254">
        <v>0</v>
      </c>
      <c r="G254">
        <v>10</v>
      </c>
      <c r="H254">
        <v>0</v>
      </c>
      <c r="I254">
        <v>40</v>
      </c>
      <c r="J254" t="s">
        <v>48</v>
      </c>
      <c r="K254" t="s">
        <v>11</v>
      </c>
    </row>
    <row r="255" spans="1:11" x14ac:dyDescent="0.3">
      <c r="A255" s="65">
        <v>46224</v>
      </c>
      <c r="B255" t="s">
        <v>207</v>
      </c>
      <c r="C255">
        <v>0.12</v>
      </c>
      <c r="D255">
        <v>18.559999999999999</v>
      </c>
      <c r="E255">
        <v>20</v>
      </c>
      <c r="F255">
        <v>0</v>
      </c>
      <c r="G255">
        <v>10</v>
      </c>
      <c r="H255">
        <v>0</v>
      </c>
      <c r="I255">
        <v>40</v>
      </c>
      <c r="J255" t="s">
        <v>48</v>
      </c>
      <c r="K255" t="s">
        <v>11</v>
      </c>
    </row>
    <row r="256" spans="1:11" x14ac:dyDescent="0.3">
      <c r="A256" s="65">
        <v>46224</v>
      </c>
      <c r="B256" t="s">
        <v>206</v>
      </c>
      <c r="C256">
        <v>13.14</v>
      </c>
      <c r="D256">
        <v>35.68</v>
      </c>
      <c r="E256">
        <v>20</v>
      </c>
      <c r="F256">
        <v>0</v>
      </c>
      <c r="G256">
        <v>10</v>
      </c>
      <c r="H256">
        <v>0</v>
      </c>
      <c r="I256">
        <v>40</v>
      </c>
      <c r="J256" t="s">
        <v>48</v>
      </c>
      <c r="K256" t="s">
        <v>11</v>
      </c>
    </row>
    <row r="257" spans="1:11" x14ac:dyDescent="0.3">
      <c r="A257" s="65">
        <v>46224</v>
      </c>
      <c r="B257" t="s">
        <v>207</v>
      </c>
      <c r="C257">
        <v>-0.46</v>
      </c>
      <c r="D257">
        <v>21.54</v>
      </c>
      <c r="E257">
        <v>20</v>
      </c>
      <c r="F257">
        <v>0</v>
      </c>
      <c r="G257">
        <v>10</v>
      </c>
      <c r="H257">
        <v>0</v>
      </c>
      <c r="I257">
        <v>40</v>
      </c>
      <c r="J257" t="s">
        <v>48</v>
      </c>
      <c r="K257" t="s">
        <v>11</v>
      </c>
    </row>
    <row r="258" spans="1:11" x14ac:dyDescent="0.3">
      <c r="A258" s="65">
        <v>46224</v>
      </c>
      <c r="B258" t="s">
        <v>206</v>
      </c>
      <c r="C258">
        <v>14.35</v>
      </c>
      <c r="D258">
        <v>34.770000000000003</v>
      </c>
      <c r="E258">
        <v>20</v>
      </c>
      <c r="F258">
        <v>0</v>
      </c>
      <c r="G258">
        <v>10</v>
      </c>
      <c r="H258">
        <v>0</v>
      </c>
      <c r="I258">
        <v>40</v>
      </c>
      <c r="J258" t="s">
        <v>48</v>
      </c>
      <c r="K258" t="s">
        <v>11</v>
      </c>
    </row>
    <row r="259" spans="1:11" x14ac:dyDescent="0.3">
      <c r="A259" s="65">
        <v>46224</v>
      </c>
      <c r="B259" t="s">
        <v>207</v>
      </c>
      <c r="C259">
        <v>1.43</v>
      </c>
      <c r="D259">
        <v>18.23</v>
      </c>
      <c r="E259">
        <v>20</v>
      </c>
      <c r="F259">
        <v>0</v>
      </c>
      <c r="G259">
        <v>10</v>
      </c>
      <c r="H259">
        <v>0</v>
      </c>
      <c r="I259">
        <v>40</v>
      </c>
      <c r="J259" t="s">
        <v>48</v>
      </c>
      <c r="K259" t="s">
        <v>11</v>
      </c>
    </row>
    <row r="260" spans="1:11" x14ac:dyDescent="0.3">
      <c r="A260" s="65">
        <v>46224</v>
      </c>
      <c r="B260" t="s">
        <v>206</v>
      </c>
      <c r="C260">
        <v>14.35</v>
      </c>
      <c r="D260">
        <v>34.770000000000003</v>
      </c>
      <c r="E260">
        <v>20</v>
      </c>
      <c r="F260">
        <v>0</v>
      </c>
      <c r="G260">
        <v>10</v>
      </c>
      <c r="H260">
        <v>0</v>
      </c>
      <c r="I260">
        <v>40</v>
      </c>
      <c r="J260" t="s">
        <v>48</v>
      </c>
      <c r="K260" t="s">
        <v>11</v>
      </c>
    </row>
    <row r="261" spans="1:11" x14ac:dyDescent="0.3">
      <c r="A261" s="65">
        <v>46224</v>
      </c>
      <c r="B261" t="s">
        <v>207</v>
      </c>
      <c r="C261">
        <v>1.43</v>
      </c>
      <c r="D261">
        <v>18.23</v>
      </c>
      <c r="E261">
        <v>20</v>
      </c>
      <c r="F261">
        <v>0</v>
      </c>
      <c r="G261">
        <v>10</v>
      </c>
      <c r="H261">
        <v>0</v>
      </c>
      <c r="I261">
        <v>40</v>
      </c>
      <c r="J261" t="s">
        <v>48</v>
      </c>
      <c r="K261" t="s">
        <v>11</v>
      </c>
    </row>
    <row r="262" spans="1:11" x14ac:dyDescent="0.3">
      <c r="A262" s="65">
        <v>46224</v>
      </c>
      <c r="B262" t="s">
        <v>206</v>
      </c>
      <c r="C262">
        <v>14.35</v>
      </c>
      <c r="D262">
        <v>34.770000000000003</v>
      </c>
      <c r="E262">
        <v>20</v>
      </c>
      <c r="F262">
        <v>0</v>
      </c>
      <c r="G262">
        <v>10</v>
      </c>
      <c r="H262">
        <v>0</v>
      </c>
      <c r="I262">
        <v>40</v>
      </c>
      <c r="J262" t="s">
        <v>48</v>
      </c>
      <c r="K262" t="s">
        <v>11</v>
      </c>
    </row>
    <row r="263" spans="1:11" x14ac:dyDescent="0.3">
      <c r="A263" s="65">
        <v>46224</v>
      </c>
      <c r="B263" t="s">
        <v>207</v>
      </c>
      <c r="C263">
        <v>1.43</v>
      </c>
      <c r="D263">
        <v>18.23</v>
      </c>
      <c r="E263">
        <v>20</v>
      </c>
      <c r="F263">
        <v>0</v>
      </c>
      <c r="G263">
        <v>10</v>
      </c>
      <c r="H263">
        <v>0</v>
      </c>
      <c r="I263">
        <v>40</v>
      </c>
      <c r="J263" t="s">
        <v>48</v>
      </c>
      <c r="K263" t="s">
        <v>11</v>
      </c>
    </row>
    <row r="264" spans="1:11" x14ac:dyDescent="0.3">
      <c r="A264" s="65">
        <v>46223</v>
      </c>
      <c r="B264" t="s">
        <v>13</v>
      </c>
      <c r="C264">
        <v>12</v>
      </c>
      <c r="D264">
        <v>53</v>
      </c>
      <c r="E264">
        <v>21.03</v>
      </c>
      <c r="F264">
        <v>0</v>
      </c>
      <c r="G264">
        <v>10</v>
      </c>
      <c r="H264">
        <v>0</v>
      </c>
      <c r="I264">
        <v>39</v>
      </c>
      <c r="J264" t="s">
        <v>48</v>
      </c>
      <c r="K264" t="s">
        <v>13</v>
      </c>
    </row>
    <row r="265" spans="1:11" x14ac:dyDescent="0.3">
      <c r="A265" s="65">
        <v>46223</v>
      </c>
      <c r="B265" t="s">
        <v>206</v>
      </c>
      <c r="C265">
        <v>19.13</v>
      </c>
      <c r="D265">
        <v>34.520000000000003</v>
      </c>
      <c r="E265">
        <v>20</v>
      </c>
      <c r="F265">
        <v>0</v>
      </c>
      <c r="G265">
        <v>10</v>
      </c>
      <c r="H265">
        <v>0</v>
      </c>
      <c r="I265">
        <v>40</v>
      </c>
      <c r="J265" t="s">
        <v>48</v>
      </c>
      <c r="K265" t="s">
        <v>11</v>
      </c>
    </row>
    <row r="266" spans="1:11" x14ac:dyDescent="0.3">
      <c r="A266" s="65">
        <v>46223</v>
      </c>
      <c r="B266" t="s">
        <v>207</v>
      </c>
      <c r="C266">
        <v>-0.88</v>
      </c>
      <c r="D266">
        <v>18.059999999999999</v>
      </c>
      <c r="E266">
        <v>20</v>
      </c>
      <c r="F266">
        <v>0</v>
      </c>
      <c r="G266">
        <v>10</v>
      </c>
      <c r="H266">
        <v>0</v>
      </c>
      <c r="I266">
        <v>40</v>
      </c>
      <c r="J266" t="s">
        <v>48</v>
      </c>
      <c r="K266" t="s">
        <v>11</v>
      </c>
    </row>
    <row r="267" spans="1:11" x14ac:dyDescent="0.3">
      <c r="A267" s="65">
        <v>46223</v>
      </c>
      <c r="B267" t="s">
        <v>206</v>
      </c>
      <c r="C267">
        <v>12.14</v>
      </c>
      <c r="D267">
        <v>35.18</v>
      </c>
      <c r="E267">
        <v>20</v>
      </c>
      <c r="F267">
        <v>0</v>
      </c>
      <c r="G267">
        <v>10</v>
      </c>
      <c r="H267">
        <v>0</v>
      </c>
      <c r="I267">
        <v>40</v>
      </c>
      <c r="J267" t="s">
        <v>48</v>
      </c>
      <c r="K267" t="s">
        <v>11</v>
      </c>
    </row>
    <row r="268" spans="1:11" x14ac:dyDescent="0.3">
      <c r="A268" s="65">
        <v>46223</v>
      </c>
      <c r="B268" t="s">
        <v>207</v>
      </c>
      <c r="C268">
        <v>-1.46</v>
      </c>
      <c r="D268">
        <v>21.04</v>
      </c>
      <c r="E268">
        <v>20</v>
      </c>
      <c r="F268">
        <v>0</v>
      </c>
      <c r="G268">
        <v>10</v>
      </c>
      <c r="H268">
        <v>0</v>
      </c>
      <c r="I268">
        <v>40</v>
      </c>
      <c r="J268" t="s">
        <v>48</v>
      </c>
      <c r="K268" t="s">
        <v>11</v>
      </c>
    </row>
    <row r="269" spans="1:11" x14ac:dyDescent="0.3">
      <c r="A269" s="65">
        <v>46223</v>
      </c>
      <c r="B269" t="s">
        <v>206</v>
      </c>
      <c r="C269">
        <v>13.35</v>
      </c>
      <c r="D269">
        <v>34.270000000000003</v>
      </c>
      <c r="E269">
        <v>20</v>
      </c>
      <c r="F269">
        <v>0</v>
      </c>
      <c r="G269">
        <v>10</v>
      </c>
      <c r="H269">
        <v>0</v>
      </c>
      <c r="I269">
        <v>40</v>
      </c>
      <c r="J269" t="s">
        <v>48</v>
      </c>
      <c r="K269" t="s">
        <v>11</v>
      </c>
    </row>
    <row r="270" spans="1:11" x14ac:dyDescent="0.3">
      <c r="A270" s="65">
        <v>46223</v>
      </c>
      <c r="B270" t="s">
        <v>207</v>
      </c>
      <c r="C270">
        <v>0.43</v>
      </c>
      <c r="D270">
        <v>17.73</v>
      </c>
      <c r="E270">
        <v>20</v>
      </c>
      <c r="F270">
        <v>0</v>
      </c>
      <c r="G270">
        <v>10</v>
      </c>
      <c r="H270">
        <v>0</v>
      </c>
      <c r="I270">
        <v>40</v>
      </c>
      <c r="J270" t="s">
        <v>48</v>
      </c>
      <c r="K270" t="s">
        <v>11</v>
      </c>
    </row>
    <row r="271" spans="1:11" x14ac:dyDescent="0.3">
      <c r="A271" s="65">
        <v>46223</v>
      </c>
      <c r="B271" t="s">
        <v>206</v>
      </c>
      <c r="C271">
        <v>13.35</v>
      </c>
      <c r="D271">
        <v>34.270000000000003</v>
      </c>
      <c r="E271">
        <v>20</v>
      </c>
      <c r="F271">
        <v>0</v>
      </c>
      <c r="G271">
        <v>10</v>
      </c>
      <c r="H271">
        <v>0</v>
      </c>
      <c r="I271">
        <v>40</v>
      </c>
      <c r="J271" t="s">
        <v>48</v>
      </c>
      <c r="K271" t="s">
        <v>11</v>
      </c>
    </row>
    <row r="272" spans="1:11" x14ac:dyDescent="0.3">
      <c r="A272" s="65">
        <v>46223</v>
      </c>
      <c r="B272" t="s">
        <v>207</v>
      </c>
      <c r="C272">
        <v>0.43</v>
      </c>
      <c r="D272">
        <v>17.73</v>
      </c>
      <c r="E272">
        <v>20</v>
      </c>
      <c r="F272">
        <v>0</v>
      </c>
      <c r="G272">
        <v>10</v>
      </c>
      <c r="H272">
        <v>0</v>
      </c>
      <c r="I272">
        <v>40</v>
      </c>
      <c r="J272" t="s">
        <v>48</v>
      </c>
      <c r="K272" t="s">
        <v>11</v>
      </c>
    </row>
    <row r="273" spans="1:11" x14ac:dyDescent="0.3">
      <c r="A273" s="65">
        <v>46223</v>
      </c>
      <c r="B273" t="s">
        <v>206</v>
      </c>
      <c r="C273">
        <v>13.35</v>
      </c>
      <c r="D273">
        <v>34.270000000000003</v>
      </c>
      <c r="E273">
        <v>20</v>
      </c>
      <c r="F273">
        <v>0</v>
      </c>
      <c r="G273">
        <v>10</v>
      </c>
      <c r="H273">
        <v>0</v>
      </c>
      <c r="I273">
        <v>40</v>
      </c>
      <c r="J273" t="s">
        <v>48</v>
      </c>
      <c r="K273" t="s">
        <v>11</v>
      </c>
    </row>
    <row r="274" spans="1:11" x14ac:dyDescent="0.3">
      <c r="A274" s="65">
        <v>46223</v>
      </c>
      <c r="B274" t="s">
        <v>207</v>
      </c>
      <c r="C274">
        <v>0.43</v>
      </c>
      <c r="D274">
        <v>17.73</v>
      </c>
      <c r="E274">
        <v>20</v>
      </c>
      <c r="F274">
        <v>0</v>
      </c>
      <c r="G274">
        <v>10</v>
      </c>
      <c r="H274">
        <v>0</v>
      </c>
      <c r="I274">
        <v>40</v>
      </c>
      <c r="J274" t="s">
        <v>48</v>
      </c>
      <c r="K274" t="s">
        <v>11</v>
      </c>
    </row>
    <row r="275" spans="1:11" x14ac:dyDescent="0.3">
      <c r="A275" s="65">
        <v>46222</v>
      </c>
      <c r="B275" t="s">
        <v>13</v>
      </c>
      <c r="C275">
        <v>20</v>
      </c>
      <c r="D275">
        <v>50</v>
      </c>
      <c r="E275">
        <v>20.98</v>
      </c>
      <c r="F275">
        <v>0</v>
      </c>
      <c r="G275">
        <v>5</v>
      </c>
      <c r="H275">
        <v>0</v>
      </c>
      <c r="I275">
        <v>38</v>
      </c>
      <c r="J275" t="s">
        <v>48</v>
      </c>
      <c r="K275" t="s">
        <v>13</v>
      </c>
    </row>
    <row r="276" spans="1:11" x14ac:dyDescent="0.3">
      <c r="A276" s="65">
        <v>46222</v>
      </c>
      <c r="B276" t="s">
        <v>206</v>
      </c>
      <c r="C276">
        <v>23.13</v>
      </c>
      <c r="D276">
        <v>36.520000000000003</v>
      </c>
      <c r="E276">
        <v>20</v>
      </c>
      <c r="F276">
        <v>0</v>
      </c>
      <c r="G276">
        <v>10</v>
      </c>
      <c r="H276">
        <v>0</v>
      </c>
      <c r="I276">
        <v>40</v>
      </c>
      <c r="J276" t="s">
        <v>48</v>
      </c>
      <c r="K276" t="s">
        <v>11</v>
      </c>
    </row>
    <row r="277" spans="1:11" x14ac:dyDescent="0.3">
      <c r="A277" s="65">
        <v>46222</v>
      </c>
      <c r="B277" t="s">
        <v>207</v>
      </c>
      <c r="C277">
        <v>3.12</v>
      </c>
      <c r="D277">
        <v>20.059999999999999</v>
      </c>
      <c r="E277">
        <v>20</v>
      </c>
      <c r="F277">
        <v>0</v>
      </c>
      <c r="G277">
        <v>10</v>
      </c>
      <c r="H277">
        <v>0</v>
      </c>
      <c r="I277">
        <v>40</v>
      </c>
      <c r="J277" t="s">
        <v>48</v>
      </c>
      <c r="K277" t="s">
        <v>11</v>
      </c>
    </row>
    <row r="278" spans="1:11" x14ac:dyDescent="0.3">
      <c r="A278" s="65">
        <v>46222</v>
      </c>
      <c r="B278" t="s">
        <v>206</v>
      </c>
      <c r="C278">
        <v>16.14</v>
      </c>
      <c r="D278">
        <v>37.18</v>
      </c>
      <c r="E278">
        <v>20</v>
      </c>
      <c r="F278">
        <v>0</v>
      </c>
      <c r="G278">
        <v>10</v>
      </c>
      <c r="H278">
        <v>0</v>
      </c>
      <c r="I278">
        <v>40</v>
      </c>
      <c r="J278" t="s">
        <v>48</v>
      </c>
      <c r="K278" t="s">
        <v>11</v>
      </c>
    </row>
    <row r="279" spans="1:11" x14ac:dyDescent="0.3">
      <c r="A279" s="65">
        <v>46222</v>
      </c>
      <c r="B279" t="s">
        <v>207</v>
      </c>
      <c r="C279">
        <v>2.54</v>
      </c>
      <c r="D279">
        <v>23.04</v>
      </c>
      <c r="E279">
        <v>20</v>
      </c>
      <c r="F279">
        <v>0</v>
      </c>
      <c r="G279">
        <v>10</v>
      </c>
      <c r="H279">
        <v>0</v>
      </c>
      <c r="I279">
        <v>40</v>
      </c>
      <c r="J279" t="s">
        <v>48</v>
      </c>
      <c r="K279" t="s">
        <v>11</v>
      </c>
    </row>
    <row r="280" spans="1:11" x14ac:dyDescent="0.3">
      <c r="A280" s="65">
        <v>46222</v>
      </c>
      <c r="B280" t="s">
        <v>206</v>
      </c>
      <c r="C280">
        <v>17.350000000000001</v>
      </c>
      <c r="D280">
        <v>36.270000000000003</v>
      </c>
      <c r="E280">
        <v>20</v>
      </c>
      <c r="F280">
        <v>0</v>
      </c>
      <c r="G280">
        <v>10</v>
      </c>
      <c r="H280">
        <v>0</v>
      </c>
      <c r="I280">
        <v>40</v>
      </c>
      <c r="J280" t="s">
        <v>48</v>
      </c>
      <c r="K280" t="s">
        <v>11</v>
      </c>
    </row>
    <row r="281" spans="1:11" x14ac:dyDescent="0.3">
      <c r="A281" s="65">
        <v>46222</v>
      </c>
      <c r="B281" t="s">
        <v>207</v>
      </c>
      <c r="C281">
        <v>4.43</v>
      </c>
      <c r="D281">
        <v>19.73</v>
      </c>
      <c r="E281">
        <v>20</v>
      </c>
      <c r="F281">
        <v>0</v>
      </c>
      <c r="G281">
        <v>10</v>
      </c>
      <c r="H281">
        <v>0</v>
      </c>
      <c r="I281">
        <v>40</v>
      </c>
      <c r="J281" t="s">
        <v>48</v>
      </c>
      <c r="K281" t="s">
        <v>11</v>
      </c>
    </row>
    <row r="282" spans="1:11" x14ac:dyDescent="0.3">
      <c r="A282" s="65">
        <v>46222</v>
      </c>
      <c r="B282" t="s">
        <v>206</v>
      </c>
      <c r="C282">
        <v>17.350000000000001</v>
      </c>
      <c r="D282">
        <v>36.270000000000003</v>
      </c>
      <c r="E282">
        <v>20</v>
      </c>
      <c r="F282">
        <v>0</v>
      </c>
      <c r="G282">
        <v>10</v>
      </c>
      <c r="H282">
        <v>0</v>
      </c>
      <c r="I282">
        <v>40</v>
      </c>
      <c r="J282" t="s">
        <v>48</v>
      </c>
      <c r="K282" t="s">
        <v>11</v>
      </c>
    </row>
    <row r="283" spans="1:11" x14ac:dyDescent="0.3">
      <c r="A283" s="65">
        <v>46222</v>
      </c>
      <c r="B283" t="s">
        <v>207</v>
      </c>
      <c r="C283">
        <v>4.43</v>
      </c>
      <c r="D283">
        <v>19.73</v>
      </c>
      <c r="E283">
        <v>20</v>
      </c>
      <c r="F283">
        <v>0</v>
      </c>
      <c r="G283">
        <v>10</v>
      </c>
      <c r="H283">
        <v>0</v>
      </c>
      <c r="I283">
        <v>40</v>
      </c>
      <c r="J283" t="s">
        <v>48</v>
      </c>
      <c r="K283" t="s">
        <v>11</v>
      </c>
    </row>
    <row r="284" spans="1:11" x14ac:dyDescent="0.3">
      <c r="A284" s="65">
        <v>46222</v>
      </c>
      <c r="B284" t="s">
        <v>206</v>
      </c>
      <c r="C284">
        <v>17.350000000000001</v>
      </c>
      <c r="D284">
        <v>36.270000000000003</v>
      </c>
      <c r="E284">
        <v>20</v>
      </c>
      <c r="F284">
        <v>0</v>
      </c>
      <c r="G284">
        <v>10</v>
      </c>
      <c r="H284">
        <v>0</v>
      </c>
      <c r="I284">
        <v>40</v>
      </c>
      <c r="J284" t="s">
        <v>48</v>
      </c>
      <c r="K284" t="s">
        <v>11</v>
      </c>
    </row>
    <row r="285" spans="1:11" x14ac:dyDescent="0.3">
      <c r="A285" s="65">
        <v>46222</v>
      </c>
      <c r="B285" t="s">
        <v>207</v>
      </c>
      <c r="C285">
        <v>4.43</v>
      </c>
      <c r="D285">
        <v>19.73</v>
      </c>
      <c r="E285">
        <v>20</v>
      </c>
      <c r="F285">
        <v>0</v>
      </c>
      <c r="G285">
        <v>10</v>
      </c>
      <c r="H285">
        <v>0</v>
      </c>
      <c r="I285">
        <v>40</v>
      </c>
      <c r="J285" t="s">
        <v>48</v>
      </c>
      <c r="K285" t="s">
        <v>11</v>
      </c>
    </row>
    <row r="286" spans="1:11" x14ac:dyDescent="0.3">
      <c r="A286" s="65">
        <v>46221</v>
      </c>
      <c r="B286" t="s">
        <v>13</v>
      </c>
      <c r="C286">
        <v>15</v>
      </c>
      <c r="D286">
        <v>54</v>
      </c>
      <c r="E286">
        <v>20.93</v>
      </c>
      <c r="F286">
        <v>0</v>
      </c>
      <c r="G286">
        <v>10</v>
      </c>
      <c r="H286">
        <v>0</v>
      </c>
      <c r="I286">
        <v>33</v>
      </c>
      <c r="J286" t="s">
        <v>48</v>
      </c>
      <c r="K286" t="s">
        <v>13</v>
      </c>
    </row>
    <row r="287" spans="1:11" x14ac:dyDescent="0.3">
      <c r="A287" s="65">
        <v>46221</v>
      </c>
      <c r="B287" t="s">
        <v>206</v>
      </c>
      <c r="C287">
        <v>22.13</v>
      </c>
      <c r="D287">
        <v>36.020000000000003</v>
      </c>
      <c r="E287">
        <v>20</v>
      </c>
      <c r="F287">
        <v>0</v>
      </c>
      <c r="G287">
        <v>10</v>
      </c>
      <c r="H287">
        <v>0</v>
      </c>
      <c r="I287">
        <v>40</v>
      </c>
      <c r="J287" t="s">
        <v>48</v>
      </c>
      <c r="K287" t="s">
        <v>11</v>
      </c>
    </row>
    <row r="288" spans="1:11" x14ac:dyDescent="0.3">
      <c r="A288" s="65">
        <v>46221</v>
      </c>
      <c r="B288" t="s">
        <v>207</v>
      </c>
      <c r="C288">
        <v>2.12</v>
      </c>
      <c r="D288">
        <v>19.559999999999999</v>
      </c>
      <c r="E288">
        <v>20</v>
      </c>
      <c r="F288">
        <v>0</v>
      </c>
      <c r="G288">
        <v>10</v>
      </c>
      <c r="H288">
        <v>0</v>
      </c>
      <c r="I288">
        <v>40</v>
      </c>
      <c r="J288" t="s">
        <v>48</v>
      </c>
      <c r="K288" t="s">
        <v>11</v>
      </c>
    </row>
    <row r="289" spans="1:11" x14ac:dyDescent="0.3">
      <c r="A289" s="65">
        <v>46221</v>
      </c>
      <c r="B289" t="s">
        <v>206</v>
      </c>
      <c r="C289">
        <v>15.14</v>
      </c>
      <c r="D289">
        <v>36.68</v>
      </c>
      <c r="E289">
        <v>20</v>
      </c>
      <c r="F289">
        <v>0</v>
      </c>
      <c r="G289">
        <v>10</v>
      </c>
      <c r="H289">
        <v>0</v>
      </c>
      <c r="I289">
        <v>40</v>
      </c>
      <c r="J289" t="s">
        <v>48</v>
      </c>
      <c r="K289" t="s">
        <v>11</v>
      </c>
    </row>
    <row r="290" spans="1:11" x14ac:dyDescent="0.3">
      <c r="A290" s="65">
        <v>46221</v>
      </c>
      <c r="B290" t="s">
        <v>207</v>
      </c>
      <c r="C290">
        <v>1.54</v>
      </c>
      <c r="D290">
        <v>22.54</v>
      </c>
      <c r="E290">
        <v>20</v>
      </c>
      <c r="F290">
        <v>0</v>
      </c>
      <c r="G290">
        <v>10</v>
      </c>
      <c r="H290">
        <v>0</v>
      </c>
      <c r="I290">
        <v>40</v>
      </c>
      <c r="J290" t="s">
        <v>48</v>
      </c>
      <c r="K290" t="s">
        <v>11</v>
      </c>
    </row>
    <row r="291" spans="1:11" x14ac:dyDescent="0.3">
      <c r="A291" s="65">
        <v>46221</v>
      </c>
      <c r="B291" t="s">
        <v>206</v>
      </c>
      <c r="C291">
        <v>16.350000000000001</v>
      </c>
      <c r="D291">
        <v>35.770000000000003</v>
      </c>
      <c r="E291">
        <v>20</v>
      </c>
      <c r="F291">
        <v>0</v>
      </c>
      <c r="G291">
        <v>10</v>
      </c>
      <c r="H291">
        <v>0</v>
      </c>
      <c r="I291">
        <v>40</v>
      </c>
      <c r="J291" t="s">
        <v>48</v>
      </c>
      <c r="K291" t="s">
        <v>11</v>
      </c>
    </row>
    <row r="292" spans="1:11" x14ac:dyDescent="0.3">
      <c r="A292" s="65">
        <v>46221</v>
      </c>
      <c r="B292" t="s">
        <v>207</v>
      </c>
      <c r="C292">
        <v>3.43</v>
      </c>
      <c r="D292">
        <v>19.23</v>
      </c>
      <c r="E292">
        <v>20</v>
      </c>
      <c r="F292">
        <v>0</v>
      </c>
      <c r="G292">
        <v>10</v>
      </c>
      <c r="H292">
        <v>0</v>
      </c>
      <c r="I292">
        <v>40</v>
      </c>
      <c r="J292" t="s">
        <v>48</v>
      </c>
      <c r="K292" t="s">
        <v>11</v>
      </c>
    </row>
    <row r="293" spans="1:11" x14ac:dyDescent="0.3">
      <c r="A293" s="65">
        <v>46221</v>
      </c>
      <c r="B293" t="s">
        <v>206</v>
      </c>
      <c r="C293">
        <v>16.350000000000001</v>
      </c>
      <c r="D293">
        <v>35.770000000000003</v>
      </c>
      <c r="E293">
        <v>20</v>
      </c>
      <c r="F293">
        <v>0</v>
      </c>
      <c r="G293">
        <v>10</v>
      </c>
      <c r="H293">
        <v>0</v>
      </c>
      <c r="I293">
        <v>40</v>
      </c>
      <c r="J293" t="s">
        <v>48</v>
      </c>
      <c r="K293" t="s">
        <v>11</v>
      </c>
    </row>
    <row r="294" spans="1:11" x14ac:dyDescent="0.3">
      <c r="A294" s="65">
        <v>46221</v>
      </c>
      <c r="B294" t="s">
        <v>207</v>
      </c>
      <c r="C294">
        <v>3.43</v>
      </c>
      <c r="D294">
        <v>19.23</v>
      </c>
      <c r="E294">
        <v>20</v>
      </c>
      <c r="F294">
        <v>0</v>
      </c>
      <c r="G294">
        <v>10</v>
      </c>
      <c r="H294">
        <v>0</v>
      </c>
      <c r="I294">
        <v>40</v>
      </c>
      <c r="J294" t="s">
        <v>48</v>
      </c>
      <c r="K294" t="s">
        <v>11</v>
      </c>
    </row>
    <row r="295" spans="1:11" x14ac:dyDescent="0.3">
      <c r="A295" s="65">
        <v>46221</v>
      </c>
      <c r="B295" t="s">
        <v>206</v>
      </c>
      <c r="C295">
        <v>16.350000000000001</v>
      </c>
      <c r="D295">
        <v>35.770000000000003</v>
      </c>
      <c r="E295">
        <v>20</v>
      </c>
      <c r="F295">
        <v>0</v>
      </c>
      <c r="G295">
        <v>10</v>
      </c>
      <c r="H295">
        <v>0</v>
      </c>
      <c r="I295">
        <v>40</v>
      </c>
      <c r="J295" t="s">
        <v>48</v>
      </c>
      <c r="K295" t="s">
        <v>11</v>
      </c>
    </row>
    <row r="296" spans="1:11" x14ac:dyDescent="0.3">
      <c r="A296" s="65">
        <v>46221</v>
      </c>
      <c r="B296" t="s">
        <v>207</v>
      </c>
      <c r="C296">
        <v>3.43</v>
      </c>
      <c r="D296">
        <v>19.23</v>
      </c>
      <c r="E296">
        <v>20</v>
      </c>
      <c r="F296">
        <v>0</v>
      </c>
      <c r="G296">
        <v>10</v>
      </c>
      <c r="H296">
        <v>0</v>
      </c>
      <c r="I296">
        <v>40</v>
      </c>
      <c r="J296" t="s">
        <v>48</v>
      </c>
      <c r="K296" t="s">
        <v>11</v>
      </c>
    </row>
    <row r="297" spans="1:11" x14ac:dyDescent="0.3">
      <c r="A297" s="65">
        <v>46220</v>
      </c>
      <c r="B297" t="s">
        <v>13</v>
      </c>
      <c r="C297">
        <v>22</v>
      </c>
      <c r="D297">
        <v>50</v>
      </c>
      <c r="E297">
        <v>20.88</v>
      </c>
      <c r="F297">
        <v>0</v>
      </c>
      <c r="G297">
        <v>5</v>
      </c>
      <c r="H297">
        <v>0</v>
      </c>
      <c r="I297">
        <v>35</v>
      </c>
      <c r="J297" t="s">
        <v>48</v>
      </c>
      <c r="K297" t="s">
        <v>13</v>
      </c>
    </row>
    <row r="298" spans="1:11" x14ac:dyDescent="0.3">
      <c r="A298" s="65">
        <v>46220</v>
      </c>
      <c r="B298" t="s">
        <v>206</v>
      </c>
      <c r="C298">
        <v>21.13</v>
      </c>
      <c r="D298">
        <v>35.520000000000003</v>
      </c>
      <c r="E298">
        <v>20</v>
      </c>
      <c r="F298">
        <v>0</v>
      </c>
      <c r="G298">
        <v>10</v>
      </c>
      <c r="H298">
        <v>0</v>
      </c>
      <c r="I298">
        <v>40</v>
      </c>
      <c r="J298" t="s">
        <v>48</v>
      </c>
      <c r="K298" t="s">
        <v>11</v>
      </c>
    </row>
    <row r="299" spans="1:11" x14ac:dyDescent="0.3">
      <c r="A299" s="65">
        <v>46220</v>
      </c>
      <c r="B299" t="s">
        <v>207</v>
      </c>
      <c r="C299">
        <v>1.1200000000000001</v>
      </c>
      <c r="D299">
        <v>19.059999999999999</v>
      </c>
      <c r="E299">
        <v>20</v>
      </c>
      <c r="F299">
        <v>0</v>
      </c>
      <c r="G299">
        <v>10</v>
      </c>
      <c r="H299">
        <v>0</v>
      </c>
      <c r="I299">
        <v>40</v>
      </c>
      <c r="J299" t="s">
        <v>48</v>
      </c>
      <c r="K299" t="s">
        <v>11</v>
      </c>
    </row>
    <row r="300" spans="1:11" x14ac:dyDescent="0.3">
      <c r="A300" s="65">
        <v>46220</v>
      </c>
      <c r="B300" t="s">
        <v>206</v>
      </c>
      <c r="C300">
        <v>14.14</v>
      </c>
      <c r="D300">
        <v>36.18</v>
      </c>
      <c r="E300">
        <v>20</v>
      </c>
      <c r="F300">
        <v>0</v>
      </c>
      <c r="G300">
        <v>10</v>
      </c>
      <c r="H300">
        <v>0</v>
      </c>
      <c r="I300">
        <v>40</v>
      </c>
      <c r="J300" t="s">
        <v>48</v>
      </c>
      <c r="K300" t="s">
        <v>11</v>
      </c>
    </row>
    <row r="301" spans="1:11" x14ac:dyDescent="0.3">
      <c r="A301" s="65">
        <v>46220</v>
      </c>
      <c r="B301" t="s">
        <v>207</v>
      </c>
      <c r="C301">
        <v>0.54</v>
      </c>
      <c r="D301">
        <v>22.04</v>
      </c>
      <c r="E301">
        <v>20</v>
      </c>
      <c r="F301">
        <v>0</v>
      </c>
      <c r="G301">
        <v>10</v>
      </c>
      <c r="H301">
        <v>0</v>
      </c>
      <c r="I301">
        <v>40</v>
      </c>
      <c r="J301" t="s">
        <v>48</v>
      </c>
      <c r="K301" t="s">
        <v>11</v>
      </c>
    </row>
    <row r="302" spans="1:11" x14ac:dyDescent="0.3">
      <c r="A302" s="65">
        <v>46220</v>
      </c>
      <c r="B302" t="s">
        <v>206</v>
      </c>
      <c r="C302">
        <v>15.35</v>
      </c>
      <c r="D302">
        <v>35.270000000000003</v>
      </c>
      <c r="E302">
        <v>20</v>
      </c>
      <c r="F302">
        <v>0</v>
      </c>
      <c r="G302">
        <v>10</v>
      </c>
      <c r="H302">
        <v>0</v>
      </c>
      <c r="I302">
        <v>40</v>
      </c>
      <c r="J302" t="s">
        <v>48</v>
      </c>
      <c r="K302" t="s">
        <v>11</v>
      </c>
    </row>
    <row r="303" spans="1:11" x14ac:dyDescent="0.3">
      <c r="A303" s="65">
        <v>46220</v>
      </c>
      <c r="B303" t="s">
        <v>207</v>
      </c>
      <c r="C303">
        <v>2.4300000000000002</v>
      </c>
      <c r="D303">
        <v>18.73</v>
      </c>
      <c r="E303">
        <v>20</v>
      </c>
      <c r="F303">
        <v>0</v>
      </c>
      <c r="G303">
        <v>10</v>
      </c>
      <c r="H303">
        <v>0</v>
      </c>
      <c r="I303">
        <v>40</v>
      </c>
      <c r="J303" t="s">
        <v>48</v>
      </c>
      <c r="K303" t="s">
        <v>11</v>
      </c>
    </row>
    <row r="304" spans="1:11" x14ac:dyDescent="0.3">
      <c r="A304" s="65">
        <v>46220</v>
      </c>
      <c r="B304" t="s">
        <v>206</v>
      </c>
      <c r="C304">
        <v>15.35</v>
      </c>
      <c r="D304">
        <v>35.270000000000003</v>
      </c>
      <c r="E304">
        <v>20</v>
      </c>
      <c r="F304">
        <v>0</v>
      </c>
      <c r="G304">
        <v>10</v>
      </c>
      <c r="H304">
        <v>0</v>
      </c>
      <c r="I304">
        <v>40</v>
      </c>
      <c r="J304" t="s">
        <v>48</v>
      </c>
      <c r="K304" t="s">
        <v>11</v>
      </c>
    </row>
    <row r="305" spans="1:11" x14ac:dyDescent="0.3">
      <c r="A305" s="65">
        <v>46220</v>
      </c>
      <c r="B305" t="s">
        <v>207</v>
      </c>
      <c r="C305">
        <v>2.4300000000000002</v>
      </c>
      <c r="D305">
        <v>18.73</v>
      </c>
      <c r="E305">
        <v>20</v>
      </c>
      <c r="F305">
        <v>0</v>
      </c>
      <c r="G305">
        <v>10</v>
      </c>
      <c r="H305">
        <v>0</v>
      </c>
      <c r="I305">
        <v>40</v>
      </c>
      <c r="J305" t="s">
        <v>48</v>
      </c>
      <c r="K305" t="s">
        <v>11</v>
      </c>
    </row>
    <row r="306" spans="1:11" x14ac:dyDescent="0.3">
      <c r="A306" s="65">
        <v>46220</v>
      </c>
      <c r="B306" t="s">
        <v>206</v>
      </c>
      <c r="C306">
        <v>15.35</v>
      </c>
      <c r="D306">
        <v>35.270000000000003</v>
      </c>
      <c r="E306">
        <v>20</v>
      </c>
      <c r="F306">
        <v>0</v>
      </c>
      <c r="G306">
        <v>10</v>
      </c>
      <c r="H306">
        <v>0</v>
      </c>
      <c r="I306">
        <v>40</v>
      </c>
      <c r="J306" t="s">
        <v>48</v>
      </c>
      <c r="K306" t="s">
        <v>11</v>
      </c>
    </row>
    <row r="307" spans="1:11" x14ac:dyDescent="0.3">
      <c r="A307" s="65">
        <v>46220</v>
      </c>
      <c r="B307" t="s">
        <v>207</v>
      </c>
      <c r="C307">
        <v>2.4300000000000002</v>
      </c>
      <c r="D307">
        <v>18.73</v>
      </c>
      <c r="E307">
        <v>20</v>
      </c>
      <c r="F307">
        <v>0</v>
      </c>
      <c r="G307">
        <v>10</v>
      </c>
      <c r="H307">
        <v>0</v>
      </c>
      <c r="I307">
        <v>40</v>
      </c>
      <c r="J307" t="s">
        <v>48</v>
      </c>
      <c r="K307" t="s">
        <v>11</v>
      </c>
    </row>
    <row r="308" spans="1:11" x14ac:dyDescent="0.3">
      <c r="A308" s="65">
        <v>46219</v>
      </c>
      <c r="B308" t="s">
        <v>13</v>
      </c>
      <c r="C308">
        <v>21</v>
      </c>
      <c r="D308">
        <v>56</v>
      </c>
      <c r="E308">
        <v>20.83</v>
      </c>
      <c r="F308">
        <v>0</v>
      </c>
      <c r="G308">
        <v>6</v>
      </c>
      <c r="H308">
        <v>0</v>
      </c>
      <c r="I308">
        <v>33</v>
      </c>
      <c r="J308" t="s">
        <v>48</v>
      </c>
      <c r="K308" t="s">
        <v>13</v>
      </c>
    </row>
    <row r="309" spans="1:11" x14ac:dyDescent="0.3">
      <c r="A309" s="65">
        <v>46219</v>
      </c>
      <c r="B309" t="s">
        <v>206</v>
      </c>
      <c r="C309">
        <v>20.13</v>
      </c>
      <c r="D309">
        <v>35.020000000000003</v>
      </c>
      <c r="E309">
        <v>20</v>
      </c>
      <c r="F309">
        <v>0</v>
      </c>
      <c r="G309">
        <v>10</v>
      </c>
      <c r="H309">
        <v>0</v>
      </c>
      <c r="I309">
        <v>40</v>
      </c>
      <c r="J309" t="s">
        <v>48</v>
      </c>
      <c r="K309" t="s">
        <v>11</v>
      </c>
    </row>
    <row r="310" spans="1:11" x14ac:dyDescent="0.3">
      <c r="A310" s="65">
        <v>46219</v>
      </c>
      <c r="B310" t="s">
        <v>207</v>
      </c>
      <c r="C310">
        <v>0.12</v>
      </c>
      <c r="D310">
        <v>18.559999999999999</v>
      </c>
      <c r="E310">
        <v>20</v>
      </c>
      <c r="F310">
        <v>0</v>
      </c>
      <c r="G310">
        <v>10</v>
      </c>
      <c r="H310">
        <v>0</v>
      </c>
      <c r="I310">
        <v>40</v>
      </c>
      <c r="J310" t="s">
        <v>48</v>
      </c>
      <c r="K310" t="s">
        <v>11</v>
      </c>
    </row>
    <row r="311" spans="1:11" x14ac:dyDescent="0.3">
      <c r="A311" s="65">
        <v>46219</v>
      </c>
      <c r="B311" t="s">
        <v>206</v>
      </c>
      <c r="C311">
        <v>13.14</v>
      </c>
      <c r="D311">
        <v>35.68</v>
      </c>
      <c r="E311">
        <v>20</v>
      </c>
      <c r="F311">
        <v>0</v>
      </c>
      <c r="G311">
        <v>10</v>
      </c>
      <c r="H311">
        <v>0</v>
      </c>
      <c r="I311">
        <v>40</v>
      </c>
      <c r="J311" t="s">
        <v>48</v>
      </c>
      <c r="K311" t="s">
        <v>11</v>
      </c>
    </row>
    <row r="312" spans="1:11" x14ac:dyDescent="0.3">
      <c r="A312" s="65">
        <v>46219</v>
      </c>
      <c r="B312" t="s">
        <v>207</v>
      </c>
      <c r="C312">
        <v>-0.46</v>
      </c>
      <c r="D312">
        <v>21.54</v>
      </c>
      <c r="E312">
        <v>20</v>
      </c>
      <c r="F312">
        <v>0</v>
      </c>
      <c r="G312">
        <v>10</v>
      </c>
      <c r="H312">
        <v>0</v>
      </c>
      <c r="I312">
        <v>40</v>
      </c>
      <c r="J312" t="s">
        <v>48</v>
      </c>
      <c r="K312" t="s">
        <v>11</v>
      </c>
    </row>
    <row r="313" spans="1:11" x14ac:dyDescent="0.3">
      <c r="A313" s="65">
        <v>46219</v>
      </c>
      <c r="B313" t="s">
        <v>206</v>
      </c>
      <c r="C313">
        <v>14.35</v>
      </c>
      <c r="D313">
        <v>34.770000000000003</v>
      </c>
      <c r="E313">
        <v>20</v>
      </c>
      <c r="F313">
        <v>0</v>
      </c>
      <c r="G313">
        <v>10</v>
      </c>
      <c r="H313">
        <v>0</v>
      </c>
      <c r="I313">
        <v>40</v>
      </c>
      <c r="J313" t="s">
        <v>48</v>
      </c>
      <c r="K313" t="s">
        <v>11</v>
      </c>
    </row>
    <row r="314" spans="1:11" x14ac:dyDescent="0.3">
      <c r="A314" s="65">
        <v>46219</v>
      </c>
      <c r="B314" t="s">
        <v>207</v>
      </c>
      <c r="C314">
        <v>1.43</v>
      </c>
      <c r="D314">
        <v>18.23</v>
      </c>
      <c r="E314">
        <v>20</v>
      </c>
      <c r="F314">
        <v>0</v>
      </c>
      <c r="G314">
        <v>10</v>
      </c>
      <c r="H314">
        <v>0</v>
      </c>
      <c r="I314">
        <v>40</v>
      </c>
      <c r="J314" t="s">
        <v>48</v>
      </c>
      <c r="K314" t="s">
        <v>11</v>
      </c>
    </row>
    <row r="315" spans="1:11" x14ac:dyDescent="0.3">
      <c r="A315" s="65">
        <v>46219</v>
      </c>
      <c r="B315" t="s">
        <v>206</v>
      </c>
      <c r="C315">
        <v>14.35</v>
      </c>
      <c r="D315">
        <v>34.770000000000003</v>
      </c>
      <c r="E315">
        <v>20</v>
      </c>
      <c r="F315">
        <v>0</v>
      </c>
      <c r="G315">
        <v>10</v>
      </c>
      <c r="H315">
        <v>0</v>
      </c>
      <c r="I315">
        <v>40</v>
      </c>
      <c r="J315" t="s">
        <v>48</v>
      </c>
      <c r="K315" t="s">
        <v>11</v>
      </c>
    </row>
    <row r="316" spans="1:11" x14ac:dyDescent="0.3">
      <c r="A316" s="65">
        <v>46219</v>
      </c>
      <c r="B316" t="s">
        <v>207</v>
      </c>
      <c r="C316">
        <v>1.43</v>
      </c>
      <c r="D316">
        <v>18.23</v>
      </c>
      <c r="E316">
        <v>20</v>
      </c>
      <c r="F316">
        <v>0</v>
      </c>
      <c r="G316">
        <v>10</v>
      </c>
      <c r="H316">
        <v>0</v>
      </c>
      <c r="I316">
        <v>40</v>
      </c>
      <c r="J316" t="s">
        <v>48</v>
      </c>
      <c r="K316" t="s">
        <v>11</v>
      </c>
    </row>
    <row r="317" spans="1:11" x14ac:dyDescent="0.3">
      <c r="A317" s="65">
        <v>46219</v>
      </c>
      <c r="B317" t="s">
        <v>206</v>
      </c>
      <c r="C317">
        <v>14.35</v>
      </c>
      <c r="D317">
        <v>34.770000000000003</v>
      </c>
      <c r="E317">
        <v>20</v>
      </c>
      <c r="F317">
        <v>0</v>
      </c>
      <c r="G317">
        <v>10</v>
      </c>
      <c r="H317">
        <v>0</v>
      </c>
      <c r="I317">
        <v>40</v>
      </c>
      <c r="J317" t="s">
        <v>48</v>
      </c>
      <c r="K317" t="s">
        <v>11</v>
      </c>
    </row>
    <row r="318" spans="1:11" x14ac:dyDescent="0.3">
      <c r="A318" s="65">
        <v>46219</v>
      </c>
      <c r="B318" t="s">
        <v>207</v>
      </c>
      <c r="C318">
        <v>1.43</v>
      </c>
      <c r="D318">
        <v>18.23</v>
      </c>
      <c r="E318">
        <v>20</v>
      </c>
      <c r="F318">
        <v>0</v>
      </c>
      <c r="G318">
        <v>10</v>
      </c>
      <c r="H318">
        <v>0</v>
      </c>
      <c r="I318">
        <v>40</v>
      </c>
      <c r="J318" t="s">
        <v>48</v>
      </c>
      <c r="K318" t="s">
        <v>11</v>
      </c>
    </row>
    <row r="319" spans="1:11" x14ac:dyDescent="0.3">
      <c r="A319" s="65">
        <v>46218</v>
      </c>
      <c r="B319" t="s">
        <v>13</v>
      </c>
      <c r="C319">
        <v>18</v>
      </c>
      <c r="D319">
        <v>54</v>
      </c>
      <c r="E319">
        <v>20.78</v>
      </c>
      <c r="F319">
        <v>0</v>
      </c>
      <c r="G319">
        <v>7</v>
      </c>
      <c r="H319">
        <v>0</v>
      </c>
      <c r="I319">
        <v>47</v>
      </c>
      <c r="J319" t="s">
        <v>48</v>
      </c>
      <c r="K319" t="s">
        <v>13</v>
      </c>
    </row>
    <row r="320" spans="1:11" x14ac:dyDescent="0.3">
      <c r="A320" s="65">
        <v>46218</v>
      </c>
      <c r="B320" t="s">
        <v>206</v>
      </c>
      <c r="C320">
        <v>19.13</v>
      </c>
      <c r="D320">
        <v>34.520000000000003</v>
      </c>
      <c r="E320">
        <v>20</v>
      </c>
      <c r="F320">
        <v>0</v>
      </c>
      <c r="G320">
        <v>10</v>
      </c>
      <c r="H320">
        <v>0</v>
      </c>
      <c r="I320">
        <v>40</v>
      </c>
      <c r="J320" t="s">
        <v>48</v>
      </c>
      <c r="K320" t="s">
        <v>11</v>
      </c>
    </row>
    <row r="321" spans="1:11" x14ac:dyDescent="0.3">
      <c r="A321" s="65">
        <v>46218</v>
      </c>
      <c r="B321" t="s">
        <v>207</v>
      </c>
      <c r="C321">
        <v>-0.88</v>
      </c>
      <c r="D321">
        <v>18.059999999999999</v>
      </c>
      <c r="E321">
        <v>20</v>
      </c>
      <c r="F321">
        <v>0</v>
      </c>
      <c r="G321">
        <v>10</v>
      </c>
      <c r="H321">
        <v>0</v>
      </c>
      <c r="I321">
        <v>40</v>
      </c>
      <c r="J321" t="s">
        <v>48</v>
      </c>
      <c r="K321" t="s">
        <v>11</v>
      </c>
    </row>
    <row r="322" spans="1:11" x14ac:dyDescent="0.3">
      <c r="A322" s="65">
        <v>46218</v>
      </c>
      <c r="B322" t="s">
        <v>206</v>
      </c>
      <c r="C322">
        <v>12.14</v>
      </c>
      <c r="D322">
        <v>35.18</v>
      </c>
      <c r="E322">
        <v>20</v>
      </c>
      <c r="F322">
        <v>0</v>
      </c>
      <c r="G322">
        <v>10</v>
      </c>
      <c r="H322">
        <v>0</v>
      </c>
      <c r="I322">
        <v>40</v>
      </c>
      <c r="J322" t="s">
        <v>48</v>
      </c>
      <c r="K322" t="s">
        <v>11</v>
      </c>
    </row>
    <row r="323" spans="1:11" x14ac:dyDescent="0.3">
      <c r="A323" s="65">
        <v>46218</v>
      </c>
      <c r="B323" t="s">
        <v>207</v>
      </c>
      <c r="C323">
        <v>-1.46</v>
      </c>
      <c r="D323">
        <v>21.04</v>
      </c>
      <c r="E323">
        <v>20</v>
      </c>
      <c r="F323">
        <v>0</v>
      </c>
      <c r="G323">
        <v>10</v>
      </c>
      <c r="H323">
        <v>0</v>
      </c>
      <c r="I323">
        <v>40</v>
      </c>
      <c r="J323" t="s">
        <v>48</v>
      </c>
      <c r="K323" t="s">
        <v>11</v>
      </c>
    </row>
    <row r="324" spans="1:11" x14ac:dyDescent="0.3">
      <c r="A324" s="65">
        <v>46218</v>
      </c>
      <c r="B324" t="s">
        <v>206</v>
      </c>
      <c r="C324">
        <v>13.35</v>
      </c>
      <c r="D324">
        <v>34.270000000000003</v>
      </c>
      <c r="E324">
        <v>20</v>
      </c>
      <c r="F324">
        <v>0</v>
      </c>
      <c r="G324">
        <v>10</v>
      </c>
      <c r="H324">
        <v>0</v>
      </c>
      <c r="I324">
        <v>40</v>
      </c>
      <c r="J324" t="s">
        <v>48</v>
      </c>
      <c r="K324" t="s">
        <v>11</v>
      </c>
    </row>
    <row r="325" spans="1:11" x14ac:dyDescent="0.3">
      <c r="A325" s="65">
        <v>46218</v>
      </c>
      <c r="B325" t="s">
        <v>207</v>
      </c>
      <c r="C325">
        <v>0.43</v>
      </c>
      <c r="D325">
        <v>17.73</v>
      </c>
      <c r="E325">
        <v>20</v>
      </c>
      <c r="F325">
        <v>0</v>
      </c>
      <c r="G325">
        <v>10</v>
      </c>
      <c r="H325">
        <v>0</v>
      </c>
      <c r="I325">
        <v>40</v>
      </c>
      <c r="J325" t="s">
        <v>48</v>
      </c>
      <c r="K325" t="s">
        <v>11</v>
      </c>
    </row>
    <row r="326" spans="1:11" x14ac:dyDescent="0.3">
      <c r="A326" s="65">
        <v>46218</v>
      </c>
      <c r="B326" t="s">
        <v>206</v>
      </c>
      <c r="C326">
        <v>13.35</v>
      </c>
      <c r="D326">
        <v>34.270000000000003</v>
      </c>
      <c r="E326">
        <v>20</v>
      </c>
      <c r="F326">
        <v>0</v>
      </c>
      <c r="G326">
        <v>10</v>
      </c>
      <c r="H326">
        <v>0</v>
      </c>
      <c r="I326">
        <v>40</v>
      </c>
      <c r="J326" t="s">
        <v>48</v>
      </c>
      <c r="K326" t="s">
        <v>11</v>
      </c>
    </row>
    <row r="327" spans="1:11" x14ac:dyDescent="0.3">
      <c r="A327" s="65">
        <v>46218</v>
      </c>
      <c r="B327" t="s">
        <v>207</v>
      </c>
      <c r="C327">
        <v>0.43</v>
      </c>
      <c r="D327">
        <v>17.73</v>
      </c>
      <c r="E327">
        <v>20</v>
      </c>
      <c r="F327">
        <v>0</v>
      </c>
      <c r="G327">
        <v>10</v>
      </c>
      <c r="H327">
        <v>0</v>
      </c>
      <c r="I327">
        <v>40</v>
      </c>
      <c r="J327" t="s">
        <v>48</v>
      </c>
      <c r="K327" t="s">
        <v>11</v>
      </c>
    </row>
    <row r="328" spans="1:11" x14ac:dyDescent="0.3">
      <c r="A328" s="65">
        <v>46218</v>
      </c>
      <c r="B328" t="s">
        <v>206</v>
      </c>
      <c r="C328">
        <v>13.35</v>
      </c>
      <c r="D328">
        <v>34.270000000000003</v>
      </c>
      <c r="E328">
        <v>20</v>
      </c>
      <c r="F328">
        <v>0</v>
      </c>
      <c r="G328">
        <v>10</v>
      </c>
      <c r="H328">
        <v>0</v>
      </c>
      <c r="I328">
        <v>40</v>
      </c>
      <c r="J328" t="s">
        <v>48</v>
      </c>
      <c r="K328" t="s">
        <v>11</v>
      </c>
    </row>
    <row r="329" spans="1:11" x14ac:dyDescent="0.3">
      <c r="A329" s="65">
        <v>46218</v>
      </c>
      <c r="B329" t="s">
        <v>207</v>
      </c>
      <c r="C329">
        <v>0.43</v>
      </c>
      <c r="D329">
        <v>17.73</v>
      </c>
      <c r="E329">
        <v>20</v>
      </c>
      <c r="F329">
        <v>0</v>
      </c>
      <c r="G329">
        <v>10</v>
      </c>
      <c r="H329">
        <v>0</v>
      </c>
      <c r="I329">
        <v>40</v>
      </c>
      <c r="J329" t="s">
        <v>48</v>
      </c>
      <c r="K329" t="s">
        <v>11</v>
      </c>
    </row>
    <row r="330" spans="1:11" x14ac:dyDescent="0.3">
      <c r="A330" s="65">
        <v>46217</v>
      </c>
      <c r="B330" t="s">
        <v>13</v>
      </c>
      <c r="C330">
        <v>19</v>
      </c>
      <c r="D330">
        <v>54</v>
      </c>
      <c r="E330">
        <v>20.73</v>
      </c>
      <c r="F330">
        <v>0</v>
      </c>
      <c r="G330">
        <v>7</v>
      </c>
      <c r="H330">
        <v>0</v>
      </c>
      <c r="I330">
        <v>32</v>
      </c>
      <c r="J330" t="s">
        <v>48</v>
      </c>
      <c r="K330" t="s">
        <v>13</v>
      </c>
    </row>
    <row r="331" spans="1:11" x14ac:dyDescent="0.3">
      <c r="A331" s="65">
        <v>46217</v>
      </c>
      <c r="B331" t="s">
        <v>206</v>
      </c>
      <c r="C331">
        <v>23.13</v>
      </c>
      <c r="D331">
        <v>36.520000000000003</v>
      </c>
      <c r="E331">
        <v>20</v>
      </c>
      <c r="F331">
        <v>0</v>
      </c>
      <c r="G331">
        <v>10</v>
      </c>
      <c r="H331">
        <v>0</v>
      </c>
      <c r="I331">
        <v>40</v>
      </c>
      <c r="J331" t="s">
        <v>48</v>
      </c>
      <c r="K331" t="s">
        <v>11</v>
      </c>
    </row>
    <row r="332" spans="1:11" x14ac:dyDescent="0.3">
      <c r="A332" s="65">
        <v>46217</v>
      </c>
      <c r="B332" t="s">
        <v>207</v>
      </c>
      <c r="C332">
        <v>3.12</v>
      </c>
      <c r="D332">
        <v>20.059999999999999</v>
      </c>
      <c r="E332">
        <v>20</v>
      </c>
      <c r="F332">
        <v>0</v>
      </c>
      <c r="G332">
        <v>10</v>
      </c>
      <c r="H332">
        <v>0</v>
      </c>
      <c r="I332">
        <v>40</v>
      </c>
      <c r="J332" t="s">
        <v>48</v>
      </c>
      <c r="K332" t="s">
        <v>11</v>
      </c>
    </row>
    <row r="333" spans="1:11" x14ac:dyDescent="0.3">
      <c r="A333" s="65">
        <v>46217</v>
      </c>
      <c r="B333" t="s">
        <v>206</v>
      </c>
      <c r="C333">
        <v>16.14</v>
      </c>
      <c r="D333">
        <v>37.18</v>
      </c>
      <c r="E333">
        <v>20</v>
      </c>
      <c r="F333">
        <v>0</v>
      </c>
      <c r="G333">
        <v>10</v>
      </c>
      <c r="H333">
        <v>0</v>
      </c>
      <c r="I333">
        <v>40</v>
      </c>
      <c r="J333" t="s">
        <v>48</v>
      </c>
      <c r="K333" t="s">
        <v>11</v>
      </c>
    </row>
    <row r="334" spans="1:11" x14ac:dyDescent="0.3">
      <c r="A334" s="65">
        <v>46217</v>
      </c>
      <c r="B334" t="s">
        <v>207</v>
      </c>
      <c r="C334">
        <v>2.54</v>
      </c>
      <c r="D334">
        <v>23.04</v>
      </c>
      <c r="E334">
        <v>20</v>
      </c>
      <c r="F334">
        <v>0</v>
      </c>
      <c r="G334">
        <v>10</v>
      </c>
      <c r="H334">
        <v>0</v>
      </c>
      <c r="I334">
        <v>40</v>
      </c>
      <c r="J334" t="s">
        <v>48</v>
      </c>
      <c r="K334" t="s">
        <v>11</v>
      </c>
    </row>
    <row r="335" spans="1:11" x14ac:dyDescent="0.3">
      <c r="A335" s="65">
        <v>46217</v>
      </c>
      <c r="B335" t="s">
        <v>206</v>
      </c>
      <c r="C335">
        <v>17.350000000000001</v>
      </c>
      <c r="D335">
        <v>36.270000000000003</v>
      </c>
      <c r="E335">
        <v>20</v>
      </c>
      <c r="F335">
        <v>0</v>
      </c>
      <c r="G335">
        <v>10</v>
      </c>
      <c r="H335">
        <v>0</v>
      </c>
      <c r="I335">
        <v>40</v>
      </c>
      <c r="J335" t="s">
        <v>48</v>
      </c>
      <c r="K335" t="s">
        <v>11</v>
      </c>
    </row>
    <row r="336" spans="1:11" x14ac:dyDescent="0.3">
      <c r="A336" s="65">
        <v>46217</v>
      </c>
      <c r="B336" t="s">
        <v>207</v>
      </c>
      <c r="C336">
        <v>4.43</v>
      </c>
      <c r="D336">
        <v>19.73</v>
      </c>
      <c r="E336">
        <v>20</v>
      </c>
      <c r="F336">
        <v>0</v>
      </c>
      <c r="G336">
        <v>10</v>
      </c>
      <c r="H336">
        <v>0</v>
      </c>
      <c r="I336">
        <v>40</v>
      </c>
      <c r="J336" t="s">
        <v>48</v>
      </c>
      <c r="K336" t="s">
        <v>11</v>
      </c>
    </row>
    <row r="337" spans="1:11" x14ac:dyDescent="0.3">
      <c r="A337" s="65">
        <v>46217</v>
      </c>
      <c r="B337" t="s">
        <v>206</v>
      </c>
      <c r="C337">
        <v>17.350000000000001</v>
      </c>
      <c r="D337">
        <v>36.270000000000003</v>
      </c>
      <c r="E337">
        <v>20</v>
      </c>
      <c r="F337">
        <v>0</v>
      </c>
      <c r="G337">
        <v>10</v>
      </c>
      <c r="H337">
        <v>0</v>
      </c>
      <c r="I337">
        <v>40</v>
      </c>
      <c r="J337" t="s">
        <v>48</v>
      </c>
      <c r="K337" t="s">
        <v>11</v>
      </c>
    </row>
    <row r="338" spans="1:11" x14ac:dyDescent="0.3">
      <c r="A338" s="65">
        <v>46217</v>
      </c>
      <c r="B338" t="s">
        <v>207</v>
      </c>
      <c r="C338">
        <v>4.43</v>
      </c>
      <c r="D338">
        <v>19.73</v>
      </c>
      <c r="E338">
        <v>20</v>
      </c>
      <c r="F338">
        <v>0</v>
      </c>
      <c r="G338">
        <v>10</v>
      </c>
      <c r="H338">
        <v>0</v>
      </c>
      <c r="I338">
        <v>40</v>
      </c>
      <c r="J338" t="s">
        <v>48</v>
      </c>
      <c r="K338" t="s">
        <v>11</v>
      </c>
    </row>
    <row r="339" spans="1:11" x14ac:dyDescent="0.3">
      <c r="A339" s="65">
        <v>46217</v>
      </c>
      <c r="B339" t="s">
        <v>206</v>
      </c>
      <c r="C339">
        <v>17.350000000000001</v>
      </c>
      <c r="D339">
        <v>36.270000000000003</v>
      </c>
      <c r="E339">
        <v>20</v>
      </c>
      <c r="F339">
        <v>0</v>
      </c>
      <c r="G339">
        <v>10</v>
      </c>
      <c r="H339">
        <v>0</v>
      </c>
      <c r="I339">
        <v>40</v>
      </c>
      <c r="J339" t="s">
        <v>48</v>
      </c>
      <c r="K339" t="s">
        <v>11</v>
      </c>
    </row>
    <row r="340" spans="1:11" x14ac:dyDescent="0.3">
      <c r="A340" s="65">
        <v>46217</v>
      </c>
      <c r="B340" t="s">
        <v>207</v>
      </c>
      <c r="C340">
        <v>4.43</v>
      </c>
      <c r="D340">
        <v>19.73</v>
      </c>
      <c r="E340">
        <v>20</v>
      </c>
      <c r="F340">
        <v>0</v>
      </c>
      <c r="G340">
        <v>10</v>
      </c>
      <c r="H340">
        <v>0</v>
      </c>
      <c r="I340">
        <v>40</v>
      </c>
      <c r="J340" t="s">
        <v>48</v>
      </c>
      <c r="K340" t="s">
        <v>11</v>
      </c>
    </row>
    <row r="341" spans="1:11" x14ac:dyDescent="0.3">
      <c r="A341" s="65">
        <v>46216</v>
      </c>
      <c r="B341" t="s">
        <v>13</v>
      </c>
      <c r="C341">
        <v>12</v>
      </c>
      <c r="D341">
        <v>53</v>
      </c>
      <c r="E341">
        <v>20.68</v>
      </c>
      <c r="F341">
        <v>0</v>
      </c>
      <c r="G341">
        <v>5</v>
      </c>
      <c r="H341">
        <v>0</v>
      </c>
      <c r="I341">
        <v>43</v>
      </c>
      <c r="J341" t="s">
        <v>48</v>
      </c>
      <c r="K341" t="s">
        <v>13</v>
      </c>
    </row>
    <row r="342" spans="1:11" x14ac:dyDescent="0.3">
      <c r="A342" s="65">
        <v>46216</v>
      </c>
      <c r="B342" t="s">
        <v>206</v>
      </c>
      <c r="C342">
        <v>22.13</v>
      </c>
      <c r="D342">
        <v>36.020000000000003</v>
      </c>
      <c r="E342">
        <v>20</v>
      </c>
      <c r="F342">
        <v>0</v>
      </c>
      <c r="G342">
        <v>10</v>
      </c>
      <c r="H342">
        <v>0</v>
      </c>
      <c r="I342">
        <v>40</v>
      </c>
      <c r="J342" t="s">
        <v>48</v>
      </c>
      <c r="K342" t="s">
        <v>11</v>
      </c>
    </row>
    <row r="343" spans="1:11" x14ac:dyDescent="0.3">
      <c r="A343" s="65">
        <v>46216</v>
      </c>
      <c r="B343" t="s">
        <v>207</v>
      </c>
      <c r="C343">
        <v>2.12</v>
      </c>
      <c r="D343">
        <v>19.559999999999999</v>
      </c>
      <c r="E343">
        <v>20</v>
      </c>
      <c r="F343">
        <v>0</v>
      </c>
      <c r="G343">
        <v>10</v>
      </c>
      <c r="H343">
        <v>0</v>
      </c>
      <c r="I343">
        <v>40</v>
      </c>
      <c r="J343" t="s">
        <v>48</v>
      </c>
      <c r="K343" t="s">
        <v>11</v>
      </c>
    </row>
    <row r="344" spans="1:11" x14ac:dyDescent="0.3">
      <c r="A344" s="65">
        <v>46216</v>
      </c>
      <c r="B344" t="s">
        <v>206</v>
      </c>
      <c r="C344">
        <v>15.14</v>
      </c>
      <c r="D344">
        <v>36.68</v>
      </c>
      <c r="E344">
        <v>20</v>
      </c>
      <c r="F344">
        <v>0</v>
      </c>
      <c r="G344">
        <v>10</v>
      </c>
      <c r="H344">
        <v>0</v>
      </c>
      <c r="I344">
        <v>40</v>
      </c>
      <c r="J344" t="s">
        <v>48</v>
      </c>
      <c r="K344" t="s">
        <v>11</v>
      </c>
    </row>
    <row r="345" spans="1:11" x14ac:dyDescent="0.3">
      <c r="A345" s="65">
        <v>46216</v>
      </c>
      <c r="B345" t="s">
        <v>207</v>
      </c>
      <c r="C345">
        <v>1.54</v>
      </c>
      <c r="D345">
        <v>22.54</v>
      </c>
      <c r="E345">
        <v>20</v>
      </c>
      <c r="F345">
        <v>0</v>
      </c>
      <c r="G345">
        <v>10</v>
      </c>
      <c r="H345">
        <v>0</v>
      </c>
      <c r="I345">
        <v>40</v>
      </c>
      <c r="J345" t="s">
        <v>48</v>
      </c>
      <c r="K345" t="s">
        <v>11</v>
      </c>
    </row>
    <row r="346" spans="1:11" x14ac:dyDescent="0.3">
      <c r="A346" s="65">
        <v>46216</v>
      </c>
      <c r="B346" t="s">
        <v>206</v>
      </c>
      <c r="C346">
        <v>16.350000000000001</v>
      </c>
      <c r="D346">
        <v>35.770000000000003</v>
      </c>
      <c r="E346">
        <v>20</v>
      </c>
      <c r="F346">
        <v>0</v>
      </c>
      <c r="G346">
        <v>10</v>
      </c>
      <c r="H346">
        <v>0</v>
      </c>
      <c r="I346">
        <v>40</v>
      </c>
      <c r="J346" t="s">
        <v>48</v>
      </c>
      <c r="K346" t="s">
        <v>11</v>
      </c>
    </row>
    <row r="347" spans="1:11" x14ac:dyDescent="0.3">
      <c r="A347" s="65">
        <v>46216</v>
      </c>
      <c r="B347" t="s">
        <v>207</v>
      </c>
      <c r="C347">
        <v>3.43</v>
      </c>
      <c r="D347">
        <v>19.23</v>
      </c>
      <c r="E347">
        <v>20</v>
      </c>
      <c r="F347">
        <v>0</v>
      </c>
      <c r="G347">
        <v>10</v>
      </c>
      <c r="H347">
        <v>0</v>
      </c>
      <c r="I347">
        <v>40</v>
      </c>
      <c r="J347" t="s">
        <v>48</v>
      </c>
      <c r="K347" t="s">
        <v>11</v>
      </c>
    </row>
    <row r="348" spans="1:11" x14ac:dyDescent="0.3">
      <c r="A348" s="65">
        <v>46216</v>
      </c>
      <c r="B348" t="s">
        <v>206</v>
      </c>
      <c r="C348">
        <v>16.350000000000001</v>
      </c>
      <c r="D348">
        <v>35.770000000000003</v>
      </c>
      <c r="E348">
        <v>20</v>
      </c>
      <c r="F348">
        <v>0</v>
      </c>
      <c r="G348">
        <v>10</v>
      </c>
      <c r="H348">
        <v>0</v>
      </c>
      <c r="I348">
        <v>40</v>
      </c>
      <c r="J348" t="s">
        <v>48</v>
      </c>
      <c r="K348" t="s">
        <v>11</v>
      </c>
    </row>
    <row r="349" spans="1:11" x14ac:dyDescent="0.3">
      <c r="A349" s="65">
        <v>46216</v>
      </c>
      <c r="B349" t="s">
        <v>207</v>
      </c>
      <c r="C349">
        <v>3.43</v>
      </c>
      <c r="D349">
        <v>19.23</v>
      </c>
      <c r="E349">
        <v>20</v>
      </c>
      <c r="F349">
        <v>0</v>
      </c>
      <c r="G349">
        <v>10</v>
      </c>
      <c r="H349">
        <v>0</v>
      </c>
      <c r="I349">
        <v>40</v>
      </c>
      <c r="J349" t="s">
        <v>48</v>
      </c>
      <c r="K349" t="s">
        <v>11</v>
      </c>
    </row>
    <row r="350" spans="1:11" x14ac:dyDescent="0.3">
      <c r="A350" s="65">
        <v>46216</v>
      </c>
      <c r="B350" t="s">
        <v>206</v>
      </c>
      <c r="C350">
        <v>16.350000000000001</v>
      </c>
      <c r="D350">
        <v>35.770000000000003</v>
      </c>
      <c r="E350">
        <v>20</v>
      </c>
      <c r="F350">
        <v>0</v>
      </c>
      <c r="G350">
        <v>10</v>
      </c>
      <c r="H350">
        <v>0</v>
      </c>
      <c r="I350">
        <v>40</v>
      </c>
      <c r="J350" t="s">
        <v>48</v>
      </c>
      <c r="K350" t="s">
        <v>11</v>
      </c>
    </row>
    <row r="351" spans="1:11" x14ac:dyDescent="0.3">
      <c r="A351" s="65">
        <v>46216</v>
      </c>
      <c r="B351" t="s">
        <v>207</v>
      </c>
      <c r="C351">
        <v>3.43</v>
      </c>
      <c r="D351">
        <v>19.23</v>
      </c>
      <c r="E351">
        <v>20</v>
      </c>
      <c r="F351">
        <v>0</v>
      </c>
      <c r="G351">
        <v>10</v>
      </c>
      <c r="H351">
        <v>0</v>
      </c>
      <c r="I351">
        <v>40</v>
      </c>
      <c r="J351" t="s">
        <v>48</v>
      </c>
      <c r="K351" t="s">
        <v>11</v>
      </c>
    </row>
    <row r="352" spans="1:11" x14ac:dyDescent="0.3">
      <c r="A352" s="65">
        <v>46215</v>
      </c>
      <c r="B352" t="s">
        <v>13</v>
      </c>
      <c r="C352">
        <v>12</v>
      </c>
      <c r="D352">
        <v>56</v>
      </c>
      <c r="E352">
        <v>20.63</v>
      </c>
      <c r="F352">
        <v>0</v>
      </c>
      <c r="G352">
        <v>8</v>
      </c>
      <c r="H352">
        <v>0</v>
      </c>
      <c r="I352">
        <v>43</v>
      </c>
      <c r="J352" t="s">
        <v>48</v>
      </c>
      <c r="K352" t="s">
        <v>13</v>
      </c>
    </row>
    <row r="353" spans="1:11" x14ac:dyDescent="0.3">
      <c r="A353" s="65">
        <v>46215</v>
      </c>
      <c r="B353" t="s">
        <v>206</v>
      </c>
      <c r="C353">
        <v>21.13</v>
      </c>
      <c r="D353">
        <v>35.520000000000003</v>
      </c>
      <c r="E353">
        <v>20</v>
      </c>
      <c r="F353">
        <v>0</v>
      </c>
      <c r="G353">
        <v>10</v>
      </c>
      <c r="H353">
        <v>0</v>
      </c>
      <c r="I353">
        <v>40</v>
      </c>
      <c r="J353" t="s">
        <v>48</v>
      </c>
      <c r="K353" t="s">
        <v>11</v>
      </c>
    </row>
    <row r="354" spans="1:11" x14ac:dyDescent="0.3">
      <c r="A354" s="65">
        <v>46215</v>
      </c>
      <c r="B354" t="s">
        <v>207</v>
      </c>
      <c r="C354">
        <v>1.1200000000000001</v>
      </c>
      <c r="D354">
        <v>19.059999999999999</v>
      </c>
      <c r="E354">
        <v>20</v>
      </c>
      <c r="F354">
        <v>0</v>
      </c>
      <c r="G354">
        <v>10</v>
      </c>
      <c r="H354">
        <v>0</v>
      </c>
      <c r="I354">
        <v>40</v>
      </c>
      <c r="J354" t="s">
        <v>48</v>
      </c>
      <c r="K354" t="s">
        <v>11</v>
      </c>
    </row>
    <row r="355" spans="1:11" x14ac:dyDescent="0.3">
      <c r="A355" s="65">
        <v>46215</v>
      </c>
      <c r="B355" t="s">
        <v>206</v>
      </c>
      <c r="C355">
        <v>14.14</v>
      </c>
      <c r="D355">
        <v>36.18</v>
      </c>
      <c r="E355">
        <v>20</v>
      </c>
      <c r="F355">
        <v>0</v>
      </c>
      <c r="G355">
        <v>10</v>
      </c>
      <c r="H355">
        <v>0</v>
      </c>
      <c r="I355">
        <v>40</v>
      </c>
      <c r="J355" t="s">
        <v>48</v>
      </c>
      <c r="K355" t="s">
        <v>11</v>
      </c>
    </row>
    <row r="356" spans="1:11" x14ac:dyDescent="0.3">
      <c r="A356" s="65">
        <v>46215</v>
      </c>
      <c r="B356" t="s">
        <v>207</v>
      </c>
      <c r="C356">
        <v>0.54</v>
      </c>
      <c r="D356">
        <v>22.04</v>
      </c>
      <c r="E356">
        <v>20</v>
      </c>
      <c r="F356">
        <v>0</v>
      </c>
      <c r="G356">
        <v>10</v>
      </c>
      <c r="H356">
        <v>0</v>
      </c>
      <c r="I356">
        <v>40</v>
      </c>
      <c r="J356" t="s">
        <v>48</v>
      </c>
      <c r="K356" t="s">
        <v>11</v>
      </c>
    </row>
    <row r="357" spans="1:11" x14ac:dyDescent="0.3">
      <c r="A357" s="65">
        <v>46215</v>
      </c>
      <c r="B357" t="s">
        <v>206</v>
      </c>
      <c r="C357">
        <v>15.35</v>
      </c>
      <c r="D357">
        <v>35.270000000000003</v>
      </c>
      <c r="E357">
        <v>20</v>
      </c>
      <c r="F357">
        <v>0</v>
      </c>
      <c r="G357">
        <v>10</v>
      </c>
      <c r="H357">
        <v>0</v>
      </c>
      <c r="I357">
        <v>40</v>
      </c>
      <c r="J357" t="s">
        <v>48</v>
      </c>
      <c r="K357" t="s">
        <v>11</v>
      </c>
    </row>
    <row r="358" spans="1:11" x14ac:dyDescent="0.3">
      <c r="A358" s="65">
        <v>46215</v>
      </c>
      <c r="B358" t="s">
        <v>207</v>
      </c>
      <c r="C358">
        <v>2.4300000000000002</v>
      </c>
      <c r="D358">
        <v>18.73</v>
      </c>
      <c r="E358">
        <v>20</v>
      </c>
      <c r="F358">
        <v>0</v>
      </c>
      <c r="G358">
        <v>10</v>
      </c>
      <c r="H358">
        <v>0</v>
      </c>
      <c r="I358">
        <v>40</v>
      </c>
      <c r="J358" t="s">
        <v>48</v>
      </c>
      <c r="K358" t="s">
        <v>11</v>
      </c>
    </row>
    <row r="359" spans="1:11" x14ac:dyDescent="0.3">
      <c r="A359" s="65">
        <v>46215</v>
      </c>
      <c r="B359" t="s">
        <v>206</v>
      </c>
      <c r="C359">
        <v>15.35</v>
      </c>
      <c r="D359">
        <v>35.270000000000003</v>
      </c>
      <c r="E359">
        <v>20</v>
      </c>
      <c r="F359">
        <v>0</v>
      </c>
      <c r="G359">
        <v>10</v>
      </c>
      <c r="H359">
        <v>0</v>
      </c>
      <c r="I359">
        <v>40</v>
      </c>
      <c r="J359" t="s">
        <v>48</v>
      </c>
      <c r="K359" t="s">
        <v>11</v>
      </c>
    </row>
    <row r="360" spans="1:11" x14ac:dyDescent="0.3">
      <c r="A360" s="65">
        <v>46215</v>
      </c>
      <c r="B360" t="s">
        <v>207</v>
      </c>
      <c r="C360">
        <v>2.4300000000000002</v>
      </c>
      <c r="D360">
        <v>18.73</v>
      </c>
      <c r="E360">
        <v>20</v>
      </c>
      <c r="F360">
        <v>0</v>
      </c>
      <c r="G360">
        <v>10</v>
      </c>
      <c r="H360">
        <v>0</v>
      </c>
      <c r="I360">
        <v>40</v>
      </c>
      <c r="J360" t="s">
        <v>48</v>
      </c>
      <c r="K360" t="s">
        <v>11</v>
      </c>
    </row>
    <row r="361" spans="1:11" x14ac:dyDescent="0.3">
      <c r="A361" s="65">
        <v>46215</v>
      </c>
      <c r="B361" t="s">
        <v>206</v>
      </c>
      <c r="C361">
        <v>15.35</v>
      </c>
      <c r="D361">
        <v>35.270000000000003</v>
      </c>
      <c r="E361">
        <v>20</v>
      </c>
      <c r="F361">
        <v>0</v>
      </c>
      <c r="G361">
        <v>10</v>
      </c>
      <c r="H361">
        <v>0</v>
      </c>
      <c r="I361">
        <v>40</v>
      </c>
      <c r="J361" t="s">
        <v>48</v>
      </c>
      <c r="K361" t="s">
        <v>11</v>
      </c>
    </row>
    <row r="362" spans="1:11" x14ac:dyDescent="0.3">
      <c r="A362" s="65">
        <v>46215</v>
      </c>
      <c r="B362" t="s">
        <v>207</v>
      </c>
      <c r="C362">
        <v>2.4300000000000002</v>
      </c>
      <c r="D362">
        <v>18.73</v>
      </c>
      <c r="E362">
        <v>20</v>
      </c>
      <c r="F362">
        <v>0</v>
      </c>
      <c r="G362">
        <v>10</v>
      </c>
      <c r="H362">
        <v>0</v>
      </c>
      <c r="I362">
        <v>40</v>
      </c>
      <c r="J362" t="s">
        <v>48</v>
      </c>
      <c r="K362" t="s">
        <v>11</v>
      </c>
    </row>
    <row r="363" spans="1:11" x14ac:dyDescent="0.3">
      <c r="A363" s="65">
        <v>46214</v>
      </c>
      <c r="B363" t="s">
        <v>13</v>
      </c>
      <c r="C363">
        <v>12</v>
      </c>
      <c r="D363">
        <v>53</v>
      </c>
      <c r="E363">
        <v>20.58</v>
      </c>
      <c r="F363">
        <v>0</v>
      </c>
      <c r="G363">
        <v>6</v>
      </c>
      <c r="H363">
        <v>0</v>
      </c>
      <c r="I363">
        <v>37</v>
      </c>
      <c r="J363" t="s">
        <v>48</v>
      </c>
      <c r="K363" t="s">
        <v>13</v>
      </c>
    </row>
    <row r="364" spans="1:11" x14ac:dyDescent="0.3">
      <c r="A364" s="65">
        <v>46214</v>
      </c>
      <c r="B364" t="s">
        <v>206</v>
      </c>
      <c r="C364">
        <v>20.13</v>
      </c>
      <c r="D364">
        <v>35.020000000000003</v>
      </c>
      <c r="E364">
        <v>20</v>
      </c>
      <c r="F364">
        <v>0</v>
      </c>
      <c r="G364">
        <v>10</v>
      </c>
      <c r="H364">
        <v>0</v>
      </c>
      <c r="I364">
        <v>40</v>
      </c>
      <c r="J364" t="s">
        <v>48</v>
      </c>
      <c r="K364" t="s">
        <v>11</v>
      </c>
    </row>
    <row r="365" spans="1:11" x14ac:dyDescent="0.3">
      <c r="A365" s="65">
        <v>46214</v>
      </c>
      <c r="B365" t="s">
        <v>207</v>
      </c>
      <c r="C365">
        <v>0.12</v>
      </c>
      <c r="D365">
        <v>18.559999999999999</v>
      </c>
      <c r="E365">
        <v>20</v>
      </c>
      <c r="F365">
        <v>0</v>
      </c>
      <c r="G365">
        <v>10</v>
      </c>
      <c r="H365">
        <v>0</v>
      </c>
      <c r="I365">
        <v>40</v>
      </c>
      <c r="J365" t="s">
        <v>48</v>
      </c>
      <c r="K365" t="s">
        <v>11</v>
      </c>
    </row>
    <row r="366" spans="1:11" x14ac:dyDescent="0.3">
      <c r="A366" s="65">
        <v>46214</v>
      </c>
      <c r="B366" t="s">
        <v>206</v>
      </c>
      <c r="C366">
        <v>13.14</v>
      </c>
      <c r="D366">
        <v>35.68</v>
      </c>
      <c r="E366">
        <v>20</v>
      </c>
      <c r="F366">
        <v>0</v>
      </c>
      <c r="G366">
        <v>10</v>
      </c>
      <c r="H366">
        <v>0</v>
      </c>
      <c r="I366">
        <v>40</v>
      </c>
      <c r="J366" t="s">
        <v>48</v>
      </c>
      <c r="K366" t="s">
        <v>11</v>
      </c>
    </row>
    <row r="367" spans="1:11" x14ac:dyDescent="0.3">
      <c r="A367" s="65">
        <v>46214</v>
      </c>
      <c r="B367" t="s">
        <v>207</v>
      </c>
      <c r="C367">
        <v>-0.46</v>
      </c>
      <c r="D367">
        <v>21.54</v>
      </c>
      <c r="E367">
        <v>20</v>
      </c>
      <c r="F367">
        <v>0</v>
      </c>
      <c r="G367">
        <v>10</v>
      </c>
      <c r="H367">
        <v>0</v>
      </c>
      <c r="I367">
        <v>40</v>
      </c>
      <c r="J367" t="s">
        <v>48</v>
      </c>
      <c r="K367" t="s">
        <v>11</v>
      </c>
    </row>
    <row r="368" spans="1:11" x14ac:dyDescent="0.3">
      <c r="A368" s="65">
        <v>46214</v>
      </c>
      <c r="B368" t="s">
        <v>206</v>
      </c>
      <c r="C368">
        <v>14.35</v>
      </c>
      <c r="D368">
        <v>34.770000000000003</v>
      </c>
      <c r="E368">
        <v>20</v>
      </c>
      <c r="F368">
        <v>0</v>
      </c>
      <c r="G368">
        <v>10</v>
      </c>
      <c r="H368">
        <v>0</v>
      </c>
      <c r="I368">
        <v>40</v>
      </c>
      <c r="J368" t="s">
        <v>48</v>
      </c>
      <c r="K368" t="s">
        <v>11</v>
      </c>
    </row>
    <row r="369" spans="1:11" x14ac:dyDescent="0.3">
      <c r="A369" s="65">
        <v>46214</v>
      </c>
      <c r="B369" t="s">
        <v>207</v>
      </c>
      <c r="C369">
        <v>1.43</v>
      </c>
      <c r="D369">
        <v>18.23</v>
      </c>
      <c r="E369">
        <v>20</v>
      </c>
      <c r="F369">
        <v>0</v>
      </c>
      <c r="G369">
        <v>10</v>
      </c>
      <c r="H369">
        <v>0</v>
      </c>
      <c r="I369">
        <v>40</v>
      </c>
      <c r="J369" t="s">
        <v>48</v>
      </c>
      <c r="K369" t="s">
        <v>11</v>
      </c>
    </row>
    <row r="370" spans="1:11" x14ac:dyDescent="0.3">
      <c r="A370" s="65">
        <v>46214</v>
      </c>
      <c r="B370" t="s">
        <v>206</v>
      </c>
      <c r="C370">
        <v>14.35</v>
      </c>
      <c r="D370">
        <v>34.770000000000003</v>
      </c>
      <c r="E370">
        <v>20</v>
      </c>
      <c r="F370">
        <v>0</v>
      </c>
      <c r="G370">
        <v>10</v>
      </c>
      <c r="H370">
        <v>0</v>
      </c>
      <c r="I370">
        <v>40</v>
      </c>
      <c r="J370" t="s">
        <v>48</v>
      </c>
      <c r="K370" t="s">
        <v>11</v>
      </c>
    </row>
    <row r="371" spans="1:11" x14ac:dyDescent="0.3">
      <c r="A371" s="65">
        <v>46214</v>
      </c>
      <c r="B371" t="s">
        <v>207</v>
      </c>
      <c r="C371">
        <v>1.43</v>
      </c>
      <c r="D371">
        <v>18.23</v>
      </c>
      <c r="E371">
        <v>20</v>
      </c>
      <c r="F371">
        <v>0</v>
      </c>
      <c r="G371">
        <v>10</v>
      </c>
      <c r="H371">
        <v>0</v>
      </c>
      <c r="I371">
        <v>40</v>
      </c>
      <c r="J371" t="s">
        <v>48</v>
      </c>
      <c r="K371" t="s">
        <v>11</v>
      </c>
    </row>
    <row r="372" spans="1:11" x14ac:dyDescent="0.3">
      <c r="A372" s="65">
        <v>46214</v>
      </c>
      <c r="B372" t="s">
        <v>206</v>
      </c>
      <c r="C372">
        <v>14.35</v>
      </c>
      <c r="D372">
        <v>34.770000000000003</v>
      </c>
      <c r="E372">
        <v>20</v>
      </c>
      <c r="F372">
        <v>0</v>
      </c>
      <c r="G372">
        <v>10</v>
      </c>
      <c r="H372">
        <v>0</v>
      </c>
      <c r="I372">
        <v>40</v>
      </c>
      <c r="J372" t="s">
        <v>48</v>
      </c>
      <c r="K372" t="s">
        <v>11</v>
      </c>
    </row>
    <row r="373" spans="1:11" x14ac:dyDescent="0.3">
      <c r="A373" s="65">
        <v>46214</v>
      </c>
      <c r="B373" t="s">
        <v>207</v>
      </c>
      <c r="C373">
        <v>1.43</v>
      </c>
      <c r="D373">
        <v>18.23</v>
      </c>
      <c r="E373">
        <v>20</v>
      </c>
      <c r="F373">
        <v>0</v>
      </c>
      <c r="G373">
        <v>10</v>
      </c>
      <c r="H373">
        <v>0</v>
      </c>
      <c r="I373">
        <v>40</v>
      </c>
      <c r="J373" t="s">
        <v>48</v>
      </c>
      <c r="K373" t="s">
        <v>11</v>
      </c>
    </row>
    <row r="374" spans="1:11" x14ac:dyDescent="0.3">
      <c r="A374" s="65">
        <v>46213</v>
      </c>
      <c r="B374" t="s">
        <v>13</v>
      </c>
      <c r="C374">
        <v>16</v>
      </c>
      <c r="D374">
        <v>54</v>
      </c>
      <c r="E374">
        <v>20.53</v>
      </c>
      <c r="F374">
        <v>0</v>
      </c>
      <c r="G374">
        <v>6</v>
      </c>
      <c r="H374">
        <v>0</v>
      </c>
      <c r="I374">
        <v>43</v>
      </c>
      <c r="J374" t="s">
        <v>48</v>
      </c>
      <c r="K374" t="s">
        <v>13</v>
      </c>
    </row>
    <row r="375" spans="1:11" x14ac:dyDescent="0.3">
      <c r="A375" s="65">
        <v>46213</v>
      </c>
      <c r="B375" t="s">
        <v>206</v>
      </c>
      <c r="C375">
        <v>19.13</v>
      </c>
      <c r="D375">
        <v>34.520000000000003</v>
      </c>
      <c r="E375">
        <v>20</v>
      </c>
      <c r="F375">
        <v>0</v>
      </c>
      <c r="G375">
        <v>10</v>
      </c>
      <c r="H375">
        <v>0</v>
      </c>
      <c r="I375">
        <v>40</v>
      </c>
      <c r="J375" t="s">
        <v>48</v>
      </c>
      <c r="K375" t="s">
        <v>11</v>
      </c>
    </row>
    <row r="376" spans="1:11" x14ac:dyDescent="0.3">
      <c r="A376" s="65">
        <v>46213</v>
      </c>
      <c r="B376" t="s">
        <v>207</v>
      </c>
      <c r="C376">
        <v>-0.88</v>
      </c>
      <c r="D376">
        <v>18.059999999999999</v>
      </c>
      <c r="E376">
        <v>20</v>
      </c>
      <c r="F376">
        <v>0</v>
      </c>
      <c r="G376">
        <v>10</v>
      </c>
      <c r="H376">
        <v>0</v>
      </c>
      <c r="I376">
        <v>40</v>
      </c>
      <c r="J376" t="s">
        <v>48</v>
      </c>
      <c r="K376" t="s">
        <v>11</v>
      </c>
    </row>
    <row r="377" spans="1:11" x14ac:dyDescent="0.3">
      <c r="A377" s="65">
        <v>46213</v>
      </c>
      <c r="B377" t="s">
        <v>206</v>
      </c>
      <c r="C377">
        <v>12.14</v>
      </c>
      <c r="D377">
        <v>35.18</v>
      </c>
      <c r="E377">
        <v>20</v>
      </c>
      <c r="F377">
        <v>0</v>
      </c>
      <c r="G377">
        <v>10</v>
      </c>
      <c r="H377">
        <v>0</v>
      </c>
      <c r="I377">
        <v>40</v>
      </c>
      <c r="J377" t="s">
        <v>48</v>
      </c>
      <c r="K377" t="s">
        <v>11</v>
      </c>
    </row>
    <row r="378" spans="1:11" x14ac:dyDescent="0.3">
      <c r="A378" s="65">
        <v>46213</v>
      </c>
      <c r="B378" t="s">
        <v>207</v>
      </c>
      <c r="C378">
        <v>-1.46</v>
      </c>
      <c r="D378">
        <v>21.04</v>
      </c>
      <c r="E378">
        <v>20</v>
      </c>
      <c r="F378">
        <v>0</v>
      </c>
      <c r="G378">
        <v>10</v>
      </c>
      <c r="H378">
        <v>0</v>
      </c>
      <c r="I378">
        <v>40</v>
      </c>
      <c r="J378" t="s">
        <v>48</v>
      </c>
      <c r="K378" t="s">
        <v>11</v>
      </c>
    </row>
    <row r="379" spans="1:11" x14ac:dyDescent="0.3">
      <c r="A379" s="65">
        <v>46213</v>
      </c>
      <c r="B379" t="s">
        <v>206</v>
      </c>
      <c r="C379">
        <v>13.35</v>
      </c>
      <c r="D379">
        <v>34.270000000000003</v>
      </c>
      <c r="E379">
        <v>20</v>
      </c>
      <c r="F379">
        <v>0</v>
      </c>
      <c r="G379">
        <v>10</v>
      </c>
      <c r="H379">
        <v>0</v>
      </c>
      <c r="I379">
        <v>40</v>
      </c>
      <c r="J379" t="s">
        <v>48</v>
      </c>
      <c r="K379" t="s">
        <v>11</v>
      </c>
    </row>
    <row r="380" spans="1:11" x14ac:dyDescent="0.3">
      <c r="A380" s="65">
        <v>46213</v>
      </c>
      <c r="B380" t="s">
        <v>207</v>
      </c>
      <c r="C380">
        <v>0.43</v>
      </c>
      <c r="D380">
        <v>17.73</v>
      </c>
      <c r="E380">
        <v>20</v>
      </c>
      <c r="F380">
        <v>0</v>
      </c>
      <c r="G380">
        <v>10</v>
      </c>
      <c r="H380">
        <v>0</v>
      </c>
      <c r="I380">
        <v>40</v>
      </c>
      <c r="J380" t="s">
        <v>48</v>
      </c>
      <c r="K380" t="s">
        <v>11</v>
      </c>
    </row>
    <row r="381" spans="1:11" x14ac:dyDescent="0.3">
      <c r="A381" s="65">
        <v>46213</v>
      </c>
      <c r="B381" t="s">
        <v>206</v>
      </c>
      <c r="C381">
        <v>13.35</v>
      </c>
      <c r="D381">
        <v>34.270000000000003</v>
      </c>
      <c r="E381">
        <v>20</v>
      </c>
      <c r="F381">
        <v>0</v>
      </c>
      <c r="G381">
        <v>10</v>
      </c>
      <c r="H381">
        <v>0</v>
      </c>
      <c r="I381">
        <v>40</v>
      </c>
      <c r="J381" t="s">
        <v>48</v>
      </c>
      <c r="K381" t="s">
        <v>11</v>
      </c>
    </row>
    <row r="382" spans="1:11" x14ac:dyDescent="0.3">
      <c r="A382" s="65">
        <v>46213</v>
      </c>
      <c r="B382" t="s">
        <v>207</v>
      </c>
      <c r="C382">
        <v>0.43</v>
      </c>
      <c r="D382">
        <v>17.73</v>
      </c>
      <c r="E382">
        <v>20</v>
      </c>
      <c r="F382">
        <v>0</v>
      </c>
      <c r="G382">
        <v>10</v>
      </c>
      <c r="H382">
        <v>0</v>
      </c>
      <c r="I382">
        <v>40</v>
      </c>
      <c r="J382" t="s">
        <v>48</v>
      </c>
      <c r="K382" t="s">
        <v>11</v>
      </c>
    </row>
    <row r="383" spans="1:11" x14ac:dyDescent="0.3">
      <c r="A383" s="65">
        <v>46213</v>
      </c>
      <c r="B383" t="s">
        <v>206</v>
      </c>
      <c r="C383">
        <v>13.35</v>
      </c>
      <c r="D383">
        <v>34.270000000000003</v>
      </c>
      <c r="E383">
        <v>20</v>
      </c>
      <c r="F383">
        <v>0</v>
      </c>
      <c r="G383">
        <v>10</v>
      </c>
      <c r="H383">
        <v>0</v>
      </c>
      <c r="I383">
        <v>40</v>
      </c>
      <c r="J383" t="s">
        <v>48</v>
      </c>
      <c r="K383" t="s">
        <v>11</v>
      </c>
    </row>
    <row r="384" spans="1:11" x14ac:dyDescent="0.3">
      <c r="A384" s="65">
        <v>46213</v>
      </c>
      <c r="B384" t="s">
        <v>207</v>
      </c>
      <c r="C384">
        <v>0.43</v>
      </c>
      <c r="D384">
        <v>17.73</v>
      </c>
      <c r="E384">
        <v>20</v>
      </c>
      <c r="F384">
        <v>0</v>
      </c>
      <c r="G384">
        <v>10</v>
      </c>
      <c r="H384">
        <v>0</v>
      </c>
      <c r="I384">
        <v>40</v>
      </c>
      <c r="J384" t="s">
        <v>48</v>
      </c>
      <c r="K384" t="s">
        <v>11</v>
      </c>
    </row>
    <row r="385" spans="1:11" x14ac:dyDescent="0.3">
      <c r="A385" s="65">
        <v>46212</v>
      </c>
      <c r="B385" t="s">
        <v>13</v>
      </c>
      <c r="C385">
        <v>12</v>
      </c>
      <c r="D385">
        <v>55</v>
      </c>
      <c r="E385">
        <v>20.48</v>
      </c>
      <c r="F385">
        <v>0</v>
      </c>
      <c r="G385">
        <v>5</v>
      </c>
      <c r="H385">
        <v>0</v>
      </c>
      <c r="I385">
        <v>32</v>
      </c>
      <c r="J385" t="s">
        <v>48</v>
      </c>
      <c r="K385" t="s">
        <v>13</v>
      </c>
    </row>
    <row r="386" spans="1:11" x14ac:dyDescent="0.3">
      <c r="A386" s="65">
        <v>46212</v>
      </c>
      <c r="B386" t="s">
        <v>206</v>
      </c>
      <c r="C386">
        <v>23.13</v>
      </c>
      <c r="D386">
        <v>36.520000000000003</v>
      </c>
      <c r="E386">
        <v>20</v>
      </c>
      <c r="F386">
        <v>0</v>
      </c>
      <c r="G386">
        <v>10</v>
      </c>
      <c r="H386">
        <v>0</v>
      </c>
      <c r="I386">
        <v>40</v>
      </c>
      <c r="J386" t="s">
        <v>48</v>
      </c>
      <c r="K386" t="s">
        <v>11</v>
      </c>
    </row>
    <row r="387" spans="1:11" x14ac:dyDescent="0.3">
      <c r="A387" s="65">
        <v>46212</v>
      </c>
      <c r="B387" t="s">
        <v>207</v>
      </c>
      <c r="C387">
        <v>3.12</v>
      </c>
      <c r="D387">
        <v>20.059999999999999</v>
      </c>
      <c r="E387">
        <v>20</v>
      </c>
      <c r="F387">
        <v>0</v>
      </c>
      <c r="G387">
        <v>10</v>
      </c>
      <c r="H387">
        <v>0</v>
      </c>
      <c r="I387">
        <v>40</v>
      </c>
      <c r="J387" t="s">
        <v>48</v>
      </c>
      <c r="K387" t="s">
        <v>11</v>
      </c>
    </row>
    <row r="388" spans="1:11" x14ac:dyDescent="0.3">
      <c r="A388" s="65">
        <v>46212</v>
      </c>
      <c r="B388" t="s">
        <v>206</v>
      </c>
      <c r="C388">
        <v>16.14</v>
      </c>
      <c r="D388">
        <v>37.18</v>
      </c>
      <c r="E388">
        <v>20</v>
      </c>
      <c r="F388">
        <v>0</v>
      </c>
      <c r="G388">
        <v>10</v>
      </c>
      <c r="H388">
        <v>0</v>
      </c>
      <c r="I388">
        <v>40</v>
      </c>
      <c r="J388" t="s">
        <v>48</v>
      </c>
      <c r="K388" t="s">
        <v>11</v>
      </c>
    </row>
    <row r="389" spans="1:11" x14ac:dyDescent="0.3">
      <c r="A389" s="65">
        <v>46212</v>
      </c>
      <c r="B389" t="s">
        <v>207</v>
      </c>
      <c r="C389">
        <v>2.54</v>
      </c>
      <c r="D389">
        <v>23.04</v>
      </c>
      <c r="E389">
        <v>20</v>
      </c>
      <c r="F389">
        <v>0</v>
      </c>
      <c r="G389">
        <v>10</v>
      </c>
      <c r="H389">
        <v>0</v>
      </c>
      <c r="I389">
        <v>40</v>
      </c>
      <c r="J389" t="s">
        <v>48</v>
      </c>
      <c r="K389" t="s">
        <v>11</v>
      </c>
    </row>
    <row r="390" spans="1:11" x14ac:dyDescent="0.3">
      <c r="A390" s="65">
        <v>46212</v>
      </c>
      <c r="B390" t="s">
        <v>206</v>
      </c>
      <c r="C390">
        <v>17.350000000000001</v>
      </c>
      <c r="D390">
        <v>36.270000000000003</v>
      </c>
      <c r="E390">
        <v>20</v>
      </c>
      <c r="F390">
        <v>0</v>
      </c>
      <c r="G390">
        <v>10</v>
      </c>
      <c r="H390">
        <v>0</v>
      </c>
      <c r="I390">
        <v>40</v>
      </c>
      <c r="J390" t="s">
        <v>48</v>
      </c>
      <c r="K390" t="s">
        <v>11</v>
      </c>
    </row>
    <row r="391" spans="1:11" x14ac:dyDescent="0.3">
      <c r="A391" s="65">
        <v>46212</v>
      </c>
      <c r="B391" t="s">
        <v>207</v>
      </c>
      <c r="C391">
        <v>4.43</v>
      </c>
      <c r="D391">
        <v>19.73</v>
      </c>
      <c r="E391">
        <v>20</v>
      </c>
      <c r="F391">
        <v>0</v>
      </c>
      <c r="G391">
        <v>10</v>
      </c>
      <c r="H391">
        <v>0</v>
      </c>
      <c r="I391">
        <v>40</v>
      </c>
      <c r="J391" t="s">
        <v>48</v>
      </c>
      <c r="K391" t="s">
        <v>11</v>
      </c>
    </row>
    <row r="392" spans="1:11" x14ac:dyDescent="0.3">
      <c r="A392" s="65">
        <v>46212</v>
      </c>
      <c r="B392" t="s">
        <v>206</v>
      </c>
      <c r="C392">
        <v>17.350000000000001</v>
      </c>
      <c r="D392">
        <v>36.270000000000003</v>
      </c>
      <c r="E392">
        <v>20</v>
      </c>
      <c r="F392">
        <v>0</v>
      </c>
      <c r="G392">
        <v>10</v>
      </c>
      <c r="H392">
        <v>0</v>
      </c>
      <c r="I392">
        <v>40</v>
      </c>
      <c r="J392" t="s">
        <v>48</v>
      </c>
      <c r="K392" t="s">
        <v>11</v>
      </c>
    </row>
    <row r="393" spans="1:11" x14ac:dyDescent="0.3">
      <c r="A393" s="65">
        <v>46212</v>
      </c>
      <c r="B393" t="s">
        <v>207</v>
      </c>
      <c r="C393">
        <v>4.43</v>
      </c>
      <c r="D393">
        <v>19.73</v>
      </c>
      <c r="E393">
        <v>20</v>
      </c>
      <c r="F393">
        <v>0</v>
      </c>
      <c r="G393">
        <v>10</v>
      </c>
      <c r="H393">
        <v>0</v>
      </c>
      <c r="I393">
        <v>40</v>
      </c>
      <c r="J393" t="s">
        <v>48</v>
      </c>
      <c r="K393" t="s">
        <v>11</v>
      </c>
    </row>
    <row r="394" spans="1:11" x14ac:dyDescent="0.3">
      <c r="A394" s="65">
        <v>46212</v>
      </c>
      <c r="B394" t="s">
        <v>206</v>
      </c>
      <c r="C394">
        <v>17.350000000000001</v>
      </c>
      <c r="D394">
        <v>36.270000000000003</v>
      </c>
      <c r="E394">
        <v>20</v>
      </c>
      <c r="F394">
        <v>0</v>
      </c>
      <c r="G394">
        <v>10</v>
      </c>
      <c r="H394">
        <v>0</v>
      </c>
      <c r="I394">
        <v>40</v>
      </c>
      <c r="J394" t="s">
        <v>48</v>
      </c>
      <c r="K394" t="s">
        <v>11</v>
      </c>
    </row>
    <row r="395" spans="1:11" x14ac:dyDescent="0.3">
      <c r="A395" s="65">
        <v>46212</v>
      </c>
      <c r="B395" t="s">
        <v>207</v>
      </c>
      <c r="C395">
        <v>4.43</v>
      </c>
      <c r="D395">
        <v>19.73</v>
      </c>
      <c r="E395">
        <v>20</v>
      </c>
      <c r="F395">
        <v>0</v>
      </c>
      <c r="G395">
        <v>10</v>
      </c>
      <c r="H395">
        <v>0</v>
      </c>
      <c r="I395">
        <v>40</v>
      </c>
      <c r="J395" t="s">
        <v>48</v>
      </c>
      <c r="K395" t="s">
        <v>11</v>
      </c>
    </row>
    <row r="396" spans="1:11" x14ac:dyDescent="0.3">
      <c r="A396" s="65">
        <v>46211</v>
      </c>
      <c r="B396" t="s">
        <v>13</v>
      </c>
      <c r="C396">
        <v>14</v>
      </c>
      <c r="D396">
        <v>52</v>
      </c>
      <c r="E396">
        <v>20.43</v>
      </c>
      <c r="F396">
        <v>0</v>
      </c>
      <c r="G396">
        <v>9</v>
      </c>
      <c r="H396">
        <v>0</v>
      </c>
      <c r="I396">
        <v>47</v>
      </c>
      <c r="J396" t="s">
        <v>48</v>
      </c>
      <c r="K396" t="s">
        <v>13</v>
      </c>
    </row>
    <row r="397" spans="1:11" x14ac:dyDescent="0.3">
      <c r="A397" s="65">
        <v>46211</v>
      </c>
      <c r="B397" t="s">
        <v>206</v>
      </c>
      <c r="C397">
        <v>22.13</v>
      </c>
      <c r="D397">
        <v>36.020000000000003</v>
      </c>
      <c r="E397">
        <v>20</v>
      </c>
      <c r="F397">
        <v>0</v>
      </c>
      <c r="G397">
        <v>10</v>
      </c>
      <c r="H397">
        <v>0</v>
      </c>
      <c r="I397">
        <v>40</v>
      </c>
      <c r="J397" t="s">
        <v>48</v>
      </c>
      <c r="K397" t="s">
        <v>11</v>
      </c>
    </row>
    <row r="398" spans="1:11" x14ac:dyDescent="0.3">
      <c r="A398" s="65">
        <v>46211</v>
      </c>
      <c r="B398" t="s">
        <v>207</v>
      </c>
      <c r="C398">
        <v>2.12</v>
      </c>
      <c r="D398">
        <v>19.559999999999999</v>
      </c>
      <c r="E398">
        <v>20</v>
      </c>
      <c r="F398">
        <v>0</v>
      </c>
      <c r="G398">
        <v>10</v>
      </c>
      <c r="H398">
        <v>0</v>
      </c>
      <c r="I398">
        <v>40</v>
      </c>
      <c r="J398" t="s">
        <v>48</v>
      </c>
      <c r="K398" t="s">
        <v>11</v>
      </c>
    </row>
    <row r="399" spans="1:11" x14ac:dyDescent="0.3">
      <c r="A399" s="65">
        <v>46211</v>
      </c>
      <c r="B399" t="s">
        <v>206</v>
      </c>
      <c r="C399">
        <v>15.14</v>
      </c>
      <c r="D399">
        <v>36.68</v>
      </c>
      <c r="E399">
        <v>20</v>
      </c>
      <c r="F399">
        <v>0</v>
      </c>
      <c r="G399">
        <v>10</v>
      </c>
      <c r="H399">
        <v>0</v>
      </c>
      <c r="I399">
        <v>40</v>
      </c>
      <c r="J399" t="s">
        <v>48</v>
      </c>
      <c r="K399" t="s">
        <v>11</v>
      </c>
    </row>
    <row r="400" spans="1:11" x14ac:dyDescent="0.3">
      <c r="A400" s="65">
        <v>46211</v>
      </c>
      <c r="B400" t="s">
        <v>207</v>
      </c>
      <c r="C400">
        <v>1.54</v>
      </c>
      <c r="D400">
        <v>22.54</v>
      </c>
      <c r="E400">
        <v>20</v>
      </c>
      <c r="F400">
        <v>0</v>
      </c>
      <c r="G400">
        <v>10</v>
      </c>
      <c r="H400">
        <v>0</v>
      </c>
      <c r="I400">
        <v>40</v>
      </c>
      <c r="J400" t="s">
        <v>48</v>
      </c>
      <c r="K400" t="s">
        <v>11</v>
      </c>
    </row>
    <row r="401" spans="1:11" x14ac:dyDescent="0.3">
      <c r="A401" s="65">
        <v>46211</v>
      </c>
      <c r="B401" t="s">
        <v>206</v>
      </c>
      <c r="C401">
        <v>16.350000000000001</v>
      </c>
      <c r="D401">
        <v>35.770000000000003</v>
      </c>
      <c r="E401">
        <v>20</v>
      </c>
      <c r="F401">
        <v>0</v>
      </c>
      <c r="G401">
        <v>10</v>
      </c>
      <c r="H401">
        <v>0</v>
      </c>
      <c r="I401">
        <v>40</v>
      </c>
      <c r="J401" t="s">
        <v>48</v>
      </c>
      <c r="K401" t="s">
        <v>11</v>
      </c>
    </row>
    <row r="402" spans="1:11" x14ac:dyDescent="0.3">
      <c r="A402" s="65">
        <v>46211</v>
      </c>
      <c r="B402" t="s">
        <v>207</v>
      </c>
      <c r="C402">
        <v>3.43</v>
      </c>
      <c r="D402">
        <v>19.23</v>
      </c>
      <c r="E402">
        <v>20</v>
      </c>
      <c r="F402">
        <v>0</v>
      </c>
      <c r="G402">
        <v>10</v>
      </c>
      <c r="H402">
        <v>0</v>
      </c>
      <c r="I402">
        <v>40</v>
      </c>
      <c r="J402" t="s">
        <v>48</v>
      </c>
      <c r="K402" t="s">
        <v>11</v>
      </c>
    </row>
    <row r="403" spans="1:11" x14ac:dyDescent="0.3">
      <c r="A403" s="65">
        <v>46211</v>
      </c>
      <c r="B403" t="s">
        <v>206</v>
      </c>
      <c r="C403">
        <v>16.350000000000001</v>
      </c>
      <c r="D403">
        <v>35.770000000000003</v>
      </c>
      <c r="E403">
        <v>20</v>
      </c>
      <c r="F403">
        <v>0</v>
      </c>
      <c r="G403">
        <v>10</v>
      </c>
      <c r="H403">
        <v>0</v>
      </c>
      <c r="I403">
        <v>40</v>
      </c>
      <c r="J403" t="s">
        <v>48</v>
      </c>
      <c r="K403" t="s">
        <v>11</v>
      </c>
    </row>
    <row r="404" spans="1:11" x14ac:dyDescent="0.3">
      <c r="A404" s="65">
        <v>46211</v>
      </c>
      <c r="B404" t="s">
        <v>207</v>
      </c>
      <c r="C404">
        <v>3.43</v>
      </c>
      <c r="D404">
        <v>19.23</v>
      </c>
      <c r="E404">
        <v>20</v>
      </c>
      <c r="F404">
        <v>0</v>
      </c>
      <c r="G404">
        <v>10</v>
      </c>
      <c r="H404">
        <v>0</v>
      </c>
      <c r="I404">
        <v>40</v>
      </c>
      <c r="J404" t="s">
        <v>48</v>
      </c>
      <c r="K404" t="s">
        <v>11</v>
      </c>
    </row>
    <row r="405" spans="1:11" x14ac:dyDescent="0.3">
      <c r="A405" s="65">
        <v>46211</v>
      </c>
      <c r="B405" t="s">
        <v>206</v>
      </c>
      <c r="C405">
        <v>16.350000000000001</v>
      </c>
      <c r="D405">
        <v>35.770000000000003</v>
      </c>
      <c r="E405">
        <v>20</v>
      </c>
      <c r="F405">
        <v>0</v>
      </c>
      <c r="G405">
        <v>10</v>
      </c>
      <c r="H405">
        <v>0</v>
      </c>
      <c r="I405">
        <v>40</v>
      </c>
      <c r="J405" t="s">
        <v>48</v>
      </c>
      <c r="K405" t="s">
        <v>11</v>
      </c>
    </row>
    <row r="406" spans="1:11" x14ac:dyDescent="0.3">
      <c r="A406" s="65">
        <v>46211</v>
      </c>
      <c r="B406" t="s">
        <v>207</v>
      </c>
      <c r="C406">
        <v>3.43</v>
      </c>
      <c r="D406">
        <v>19.23</v>
      </c>
      <c r="E406">
        <v>20</v>
      </c>
      <c r="F406">
        <v>0</v>
      </c>
      <c r="G406">
        <v>10</v>
      </c>
      <c r="H406">
        <v>0</v>
      </c>
      <c r="I406">
        <v>40</v>
      </c>
      <c r="J406" t="s">
        <v>48</v>
      </c>
      <c r="K406" t="s">
        <v>11</v>
      </c>
    </row>
    <row r="407" spans="1:11" x14ac:dyDescent="0.3">
      <c r="A407" s="65">
        <v>46210</v>
      </c>
      <c r="B407" t="s">
        <v>13</v>
      </c>
      <c r="C407">
        <v>21</v>
      </c>
      <c r="D407">
        <v>57</v>
      </c>
      <c r="E407">
        <v>20.38</v>
      </c>
      <c r="F407">
        <v>0</v>
      </c>
      <c r="G407">
        <v>6</v>
      </c>
      <c r="H407">
        <v>0</v>
      </c>
      <c r="I407">
        <v>32</v>
      </c>
      <c r="J407" t="s">
        <v>48</v>
      </c>
      <c r="K407" t="s">
        <v>13</v>
      </c>
    </row>
    <row r="408" spans="1:11" x14ac:dyDescent="0.3">
      <c r="A408" s="65">
        <v>46210</v>
      </c>
      <c r="B408" t="s">
        <v>206</v>
      </c>
      <c r="C408">
        <v>21.13</v>
      </c>
      <c r="D408">
        <v>35.520000000000003</v>
      </c>
      <c r="E408">
        <v>20</v>
      </c>
      <c r="F408">
        <v>0</v>
      </c>
      <c r="G408">
        <v>10</v>
      </c>
      <c r="H408">
        <v>0</v>
      </c>
      <c r="I408">
        <v>40</v>
      </c>
      <c r="J408" t="s">
        <v>48</v>
      </c>
      <c r="K408" t="s">
        <v>11</v>
      </c>
    </row>
    <row r="409" spans="1:11" x14ac:dyDescent="0.3">
      <c r="A409" s="65">
        <v>46210</v>
      </c>
      <c r="B409" t="s">
        <v>207</v>
      </c>
      <c r="C409">
        <v>1.1200000000000001</v>
      </c>
      <c r="D409">
        <v>19.059999999999999</v>
      </c>
      <c r="E409">
        <v>20</v>
      </c>
      <c r="F409">
        <v>0</v>
      </c>
      <c r="G409">
        <v>10</v>
      </c>
      <c r="H409">
        <v>0</v>
      </c>
      <c r="I409">
        <v>40</v>
      </c>
      <c r="J409" t="s">
        <v>48</v>
      </c>
      <c r="K409" t="s">
        <v>11</v>
      </c>
    </row>
    <row r="410" spans="1:11" x14ac:dyDescent="0.3">
      <c r="A410" s="65">
        <v>46210</v>
      </c>
      <c r="B410" t="s">
        <v>206</v>
      </c>
      <c r="C410">
        <v>14.14</v>
      </c>
      <c r="D410">
        <v>36.18</v>
      </c>
      <c r="E410">
        <v>20</v>
      </c>
      <c r="F410">
        <v>0</v>
      </c>
      <c r="G410">
        <v>10</v>
      </c>
      <c r="H410">
        <v>0</v>
      </c>
      <c r="I410">
        <v>40</v>
      </c>
      <c r="J410" t="s">
        <v>48</v>
      </c>
      <c r="K410" t="s">
        <v>11</v>
      </c>
    </row>
    <row r="411" spans="1:11" x14ac:dyDescent="0.3">
      <c r="A411" s="65">
        <v>46210</v>
      </c>
      <c r="B411" t="s">
        <v>207</v>
      </c>
      <c r="C411">
        <v>0.54</v>
      </c>
      <c r="D411">
        <v>22.04</v>
      </c>
      <c r="E411">
        <v>20</v>
      </c>
      <c r="F411">
        <v>0</v>
      </c>
      <c r="G411">
        <v>10</v>
      </c>
      <c r="H411">
        <v>0</v>
      </c>
      <c r="I411">
        <v>40</v>
      </c>
      <c r="J411" t="s">
        <v>48</v>
      </c>
      <c r="K411" t="s">
        <v>11</v>
      </c>
    </row>
    <row r="412" spans="1:11" x14ac:dyDescent="0.3">
      <c r="A412" s="65">
        <v>46210</v>
      </c>
      <c r="B412" t="s">
        <v>206</v>
      </c>
      <c r="C412">
        <v>15.35</v>
      </c>
      <c r="D412">
        <v>35.270000000000003</v>
      </c>
      <c r="E412">
        <v>20</v>
      </c>
      <c r="F412">
        <v>0</v>
      </c>
      <c r="G412">
        <v>10</v>
      </c>
      <c r="H412">
        <v>0</v>
      </c>
      <c r="I412">
        <v>40</v>
      </c>
      <c r="J412" t="s">
        <v>48</v>
      </c>
      <c r="K412" t="s">
        <v>11</v>
      </c>
    </row>
    <row r="413" spans="1:11" x14ac:dyDescent="0.3">
      <c r="A413" s="65">
        <v>46210</v>
      </c>
      <c r="B413" t="s">
        <v>207</v>
      </c>
      <c r="C413">
        <v>2.4300000000000002</v>
      </c>
      <c r="D413">
        <v>18.73</v>
      </c>
      <c r="E413">
        <v>20</v>
      </c>
      <c r="F413">
        <v>0</v>
      </c>
      <c r="G413">
        <v>10</v>
      </c>
      <c r="H413">
        <v>0</v>
      </c>
      <c r="I413">
        <v>40</v>
      </c>
      <c r="J413" t="s">
        <v>48</v>
      </c>
      <c r="K413" t="s">
        <v>11</v>
      </c>
    </row>
    <row r="414" spans="1:11" x14ac:dyDescent="0.3">
      <c r="A414" s="65">
        <v>46210</v>
      </c>
      <c r="B414" t="s">
        <v>206</v>
      </c>
      <c r="C414">
        <v>15.35</v>
      </c>
      <c r="D414">
        <v>35.270000000000003</v>
      </c>
      <c r="E414">
        <v>20</v>
      </c>
      <c r="F414">
        <v>0</v>
      </c>
      <c r="G414">
        <v>10</v>
      </c>
      <c r="H414">
        <v>0</v>
      </c>
      <c r="I414">
        <v>40</v>
      </c>
      <c r="J414" t="s">
        <v>48</v>
      </c>
      <c r="K414" t="s">
        <v>11</v>
      </c>
    </row>
    <row r="415" spans="1:11" x14ac:dyDescent="0.3">
      <c r="A415" s="65">
        <v>46210</v>
      </c>
      <c r="B415" t="s">
        <v>207</v>
      </c>
      <c r="C415">
        <v>2.4300000000000002</v>
      </c>
      <c r="D415">
        <v>18.73</v>
      </c>
      <c r="E415">
        <v>20</v>
      </c>
      <c r="F415">
        <v>0</v>
      </c>
      <c r="G415">
        <v>10</v>
      </c>
      <c r="H415">
        <v>0</v>
      </c>
      <c r="I415">
        <v>40</v>
      </c>
      <c r="J415" t="s">
        <v>48</v>
      </c>
      <c r="K415" t="s">
        <v>11</v>
      </c>
    </row>
    <row r="416" spans="1:11" x14ac:dyDescent="0.3">
      <c r="A416" s="65">
        <v>46210</v>
      </c>
      <c r="B416" t="s">
        <v>206</v>
      </c>
      <c r="C416">
        <v>15.35</v>
      </c>
      <c r="D416">
        <v>35.270000000000003</v>
      </c>
      <c r="E416">
        <v>20</v>
      </c>
      <c r="F416">
        <v>0</v>
      </c>
      <c r="G416">
        <v>10</v>
      </c>
      <c r="H416">
        <v>0</v>
      </c>
      <c r="I416">
        <v>40</v>
      </c>
      <c r="J416" t="s">
        <v>48</v>
      </c>
      <c r="K416" t="s">
        <v>11</v>
      </c>
    </row>
    <row r="417" spans="1:11" x14ac:dyDescent="0.3">
      <c r="A417" s="65">
        <v>46210</v>
      </c>
      <c r="B417" t="s">
        <v>207</v>
      </c>
      <c r="C417">
        <v>2.4300000000000002</v>
      </c>
      <c r="D417">
        <v>18.73</v>
      </c>
      <c r="E417">
        <v>20</v>
      </c>
      <c r="F417">
        <v>0</v>
      </c>
      <c r="G417">
        <v>10</v>
      </c>
      <c r="H417">
        <v>0</v>
      </c>
      <c r="I417">
        <v>40</v>
      </c>
      <c r="J417" t="s">
        <v>48</v>
      </c>
      <c r="K417" t="s">
        <v>11</v>
      </c>
    </row>
    <row r="418" spans="1:11" x14ac:dyDescent="0.3">
      <c r="A418" s="65">
        <v>46209</v>
      </c>
      <c r="B418" t="s">
        <v>13</v>
      </c>
      <c r="C418">
        <v>19</v>
      </c>
      <c r="D418">
        <v>57</v>
      </c>
      <c r="E418">
        <v>20.329999999999998</v>
      </c>
      <c r="F418">
        <v>0</v>
      </c>
      <c r="G418">
        <v>5</v>
      </c>
      <c r="H418">
        <v>0</v>
      </c>
      <c r="I418">
        <v>40</v>
      </c>
      <c r="J418" t="s">
        <v>48</v>
      </c>
      <c r="K418" t="s">
        <v>13</v>
      </c>
    </row>
    <row r="419" spans="1:11" x14ac:dyDescent="0.3">
      <c r="A419" s="65">
        <v>46209</v>
      </c>
      <c r="B419" t="s">
        <v>206</v>
      </c>
      <c r="C419">
        <v>20.13</v>
      </c>
      <c r="D419">
        <v>35.020000000000003</v>
      </c>
      <c r="E419">
        <v>20</v>
      </c>
      <c r="F419">
        <v>0</v>
      </c>
      <c r="G419">
        <v>10</v>
      </c>
      <c r="H419">
        <v>0</v>
      </c>
      <c r="I419">
        <v>40</v>
      </c>
      <c r="J419" t="s">
        <v>48</v>
      </c>
      <c r="K419" t="s">
        <v>11</v>
      </c>
    </row>
    <row r="420" spans="1:11" x14ac:dyDescent="0.3">
      <c r="A420" s="65">
        <v>46209</v>
      </c>
      <c r="B420" t="s">
        <v>207</v>
      </c>
      <c r="C420">
        <v>0.12</v>
      </c>
      <c r="D420">
        <v>18.559999999999999</v>
      </c>
      <c r="E420">
        <v>20</v>
      </c>
      <c r="F420">
        <v>0</v>
      </c>
      <c r="G420">
        <v>10</v>
      </c>
      <c r="H420">
        <v>0</v>
      </c>
      <c r="I420">
        <v>40</v>
      </c>
      <c r="J420" t="s">
        <v>48</v>
      </c>
      <c r="K420" t="s">
        <v>11</v>
      </c>
    </row>
    <row r="421" spans="1:11" x14ac:dyDescent="0.3">
      <c r="A421" s="65">
        <v>46209</v>
      </c>
      <c r="B421" t="s">
        <v>206</v>
      </c>
      <c r="C421">
        <v>13.14</v>
      </c>
      <c r="D421">
        <v>35.68</v>
      </c>
      <c r="E421">
        <v>20</v>
      </c>
      <c r="F421">
        <v>0</v>
      </c>
      <c r="G421">
        <v>10</v>
      </c>
      <c r="H421">
        <v>0</v>
      </c>
      <c r="I421">
        <v>40</v>
      </c>
      <c r="J421" t="s">
        <v>48</v>
      </c>
      <c r="K421" t="s">
        <v>11</v>
      </c>
    </row>
    <row r="422" spans="1:11" x14ac:dyDescent="0.3">
      <c r="A422" s="65">
        <v>46209</v>
      </c>
      <c r="B422" t="s">
        <v>207</v>
      </c>
      <c r="C422">
        <v>-0.46</v>
      </c>
      <c r="D422">
        <v>21.54</v>
      </c>
      <c r="E422">
        <v>20</v>
      </c>
      <c r="F422">
        <v>0</v>
      </c>
      <c r="G422">
        <v>10</v>
      </c>
      <c r="H422">
        <v>0</v>
      </c>
      <c r="I422">
        <v>40</v>
      </c>
      <c r="J422" t="s">
        <v>48</v>
      </c>
      <c r="K422" t="s">
        <v>11</v>
      </c>
    </row>
    <row r="423" spans="1:11" x14ac:dyDescent="0.3">
      <c r="A423" s="65">
        <v>46209</v>
      </c>
      <c r="B423" t="s">
        <v>206</v>
      </c>
      <c r="C423">
        <v>14.35</v>
      </c>
      <c r="D423">
        <v>34.770000000000003</v>
      </c>
      <c r="E423">
        <v>20</v>
      </c>
      <c r="F423">
        <v>0</v>
      </c>
      <c r="G423">
        <v>10</v>
      </c>
      <c r="H423">
        <v>0</v>
      </c>
      <c r="I423">
        <v>40</v>
      </c>
      <c r="J423" t="s">
        <v>48</v>
      </c>
      <c r="K423" t="s">
        <v>11</v>
      </c>
    </row>
    <row r="424" spans="1:11" x14ac:dyDescent="0.3">
      <c r="A424" s="65">
        <v>46209</v>
      </c>
      <c r="B424" t="s">
        <v>207</v>
      </c>
      <c r="C424">
        <v>1.43</v>
      </c>
      <c r="D424">
        <v>18.23</v>
      </c>
      <c r="E424">
        <v>20</v>
      </c>
      <c r="F424">
        <v>0</v>
      </c>
      <c r="G424">
        <v>10</v>
      </c>
      <c r="H424">
        <v>0</v>
      </c>
      <c r="I424">
        <v>40</v>
      </c>
      <c r="J424" t="s">
        <v>48</v>
      </c>
      <c r="K424" t="s">
        <v>11</v>
      </c>
    </row>
    <row r="425" spans="1:11" x14ac:dyDescent="0.3">
      <c r="A425" s="65">
        <v>46209</v>
      </c>
      <c r="B425" t="s">
        <v>206</v>
      </c>
      <c r="C425">
        <v>14.35</v>
      </c>
      <c r="D425">
        <v>34.770000000000003</v>
      </c>
      <c r="E425">
        <v>20</v>
      </c>
      <c r="F425">
        <v>0</v>
      </c>
      <c r="G425">
        <v>10</v>
      </c>
      <c r="H425">
        <v>0</v>
      </c>
      <c r="I425">
        <v>40</v>
      </c>
      <c r="J425" t="s">
        <v>48</v>
      </c>
      <c r="K425" t="s">
        <v>11</v>
      </c>
    </row>
    <row r="426" spans="1:11" x14ac:dyDescent="0.3">
      <c r="A426" s="65">
        <v>46209</v>
      </c>
      <c r="B426" t="s">
        <v>207</v>
      </c>
      <c r="C426">
        <v>1.43</v>
      </c>
      <c r="D426">
        <v>18.23</v>
      </c>
      <c r="E426">
        <v>20</v>
      </c>
      <c r="F426">
        <v>0</v>
      </c>
      <c r="G426">
        <v>10</v>
      </c>
      <c r="H426">
        <v>0</v>
      </c>
      <c r="I426">
        <v>40</v>
      </c>
      <c r="J426" t="s">
        <v>48</v>
      </c>
      <c r="K426" t="s">
        <v>11</v>
      </c>
    </row>
    <row r="427" spans="1:11" x14ac:dyDescent="0.3">
      <c r="A427" s="65">
        <v>46209</v>
      </c>
      <c r="B427" t="s">
        <v>206</v>
      </c>
      <c r="C427">
        <v>14.35</v>
      </c>
      <c r="D427">
        <v>34.770000000000003</v>
      </c>
      <c r="E427">
        <v>20</v>
      </c>
      <c r="F427">
        <v>0</v>
      </c>
      <c r="G427">
        <v>10</v>
      </c>
      <c r="H427">
        <v>0</v>
      </c>
      <c r="I427">
        <v>40</v>
      </c>
      <c r="J427" t="s">
        <v>48</v>
      </c>
      <c r="K427" t="s">
        <v>11</v>
      </c>
    </row>
    <row r="428" spans="1:11" x14ac:dyDescent="0.3">
      <c r="A428" s="65">
        <v>46209</v>
      </c>
      <c r="B428" t="s">
        <v>207</v>
      </c>
      <c r="C428">
        <v>1.43</v>
      </c>
      <c r="D428">
        <v>18.23</v>
      </c>
      <c r="E428">
        <v>20</v>
      </c>
      <c r="F428">
        <v>0</v>
      </c>
      <c r="G428">
        <v>10</v>
      </c>
      <c r="H428">
        <v>0</v>
      </c>
      <c r="I428">
        <v>40</v>
      </c>
      <c r="J428" t="s">
        <v>48</v>
      </c>
      <c r="K428" t="s">
        <v>11</v>
      </c>
    </row>
    <row r="429" spans="1:11" x14ac:dyDescent="0.3">
      <c r="A429" s="65">
        <v>46208</v>
      </c>
      <c r="B429" t="s">
        <v>13</v>
      </c>
      <c r="C429">
        <v>20</v>
      </c>
      <c r="D429">
        <v>55</v>
      </c>
      <c r="E429">
        <v>20.28</v>
      </c>
      <c r="F429">
        <v>0</v>
      </c>
      <c r="G429">
        <v>7</v>
      </c>
      <c r="H429">
        <v>0</v>
      </c>
      <c r="I429">
        <v>32</v>
      </c>
      <c r="J429" t="s">
        <v>48</v>
      </c>
      <c r="K429" t="s">
        <v>13</v>
      </c>
    </row>
    <row r="430" spans="1:11" x14ac:dyDescent="0.3">
      <c r="A430" s="65">
        <v>46208</v>
      </c>
      <c r="B430" t="s">
        <v>206</v>
      </c>
      <c r="C430">
        <v>19.13</v>
      </c>
      <c r="D430">
        <v>34.520000000000003</v>
      </c>
      <c r="E430">
        <v>20</v>
      </c>
      <c r="F430">
        <v>0</v>
      </c>
      <c r="G430">
        <v>10</v>
      </c>
      <c r="H430">
        <v>0</v>
      </c>
      <c r="I430">
        <v>40</v>
      </c>
      <c r="J430" t="s">
        <v>48</v>
      </c>
      <c r="K430" t="s">
        <v>11</v>
      </c>
    </row>
    <row r="431" spans="1:11" x14ac:dyDescent="0.3">
      <c r="A431" s="65">
        <v>46208</v>
      </c>
      <c r="B431" t="s">
        <v>207</v>
      </c>
      <c r="C431">
        <v>-0.88</v>
      </c>
      <c r="D431">
        <v>18.059999999999999</v>
      </c>
      <c r="E431">
        <v>20</v>
      </c>
      <c r="F431">
        <v>0</v>
      </c>
      <c r="G431">
        <v>10</v>
      </c>
      <c r="H431">
        <v>0</v>
      </c>
      <c r="I431">
        <v>40</v>
      </c>
      <c r="J431" t="s">
        <v>48</v>
      </c>
      <c r="K431" t="s">
        <v>11</v>
      </c>
    </row>
    <row r="432" spans="1:11" x14ac:dyDescent="0.3">
      <c r="A432" s="65">
        <v>46208</v>
      </c>
      <c r="B432" t="s">
        <v>206</v>
      </c>
      <c r="C432">
        <v>12.14</v>
      </c>
      <c r="D432">
        <v>35.18</v>
      </c>
      <c r="E432">
        <v>20</v>
      </c>
      <c r="F432">
        <v>0</v>
      </c>
      <c r="G432">
        <v>10</v>
      </c>
      <c r="H432">
        <v>0</v>
      </c>
      <c r="I432">
        <v>40</v>
      </c>
      <c r="J432" t="s">
        <v>48</v>
      </c>
      <c r="K432" t="s">
        <v>11</v>
      </c>
    </row>
    <row r="433" spans="1:11" x14ac:dyDescent="0.3">
      <c r="A433" s="65">
        <v>46208</v>
      </c>
      <c r="B433" t="s">
        <v>207</v>
      </c>
      <c r="C433">
        <v>-1.46</v>
      </c>
      <c r="D433">
        <v>21.04</v>
      </c>
      <c r="E433">
        <v>20</v>
      </c>
      <c r="F433">
        <v>0</v>
      </c>
      <c r="G433">
        <v>10</v>
      </c>
      <c r="H433">
        <v>0</v>
      </c>
      <c r="I433">
        <v>40</v>
      </c>
      <c r="J433" t="s">
        <v>48</v>
      </c>
      <c r="K433" t="s">
        <v>11</v>
      </c>
    </row>
    <row r="434" spans="1:11" x14ac:dyDescent="0.3">
      <c r="A434" s="65">
        <v>46208</v>
      </c>
      <c r="B434" t="s">
        <v>206</v>
      </c>
      <c r="C434">
        <v>13.35</v>
      </c>
      <c r="D434">
        <v>34.270000000000003</v>
      </c>
      <c r="E434">
        <v>20</v>
      </c>
      <c r="F434">
        <v>0</v>
      </c>
      <c r="G434">
        <v>10</v>
      </c>
      <c r="H434">
        <v>0</v>
      </c>
      <c r="I434">
        <v>40</v>
      </c>
      <c r="J434" t="s">
        <v>48</v>
      </c>
      <c r="K434" t="s">
        <v>11</v>
      </c>
    </row>
    <row r="435" spans="1:11" x14ac:dyDescent="0.3">
      <c r="A435" s="65">
        <v>46208</v>
      </c>
      <c r="B435" t="s">
        <v>207</v>
      </c>
      <c r="C435">
        <v>0.43</v>
      </c>
      <c r="D435">
        <v>17.73</v>
      </c>
      <c r="E435">
        <v>20</v>
      </c>
      <c r="F435">
        <v>0</v>
      </c>
      <c r="G435">
        <v>10</v>
      </c>
      <c r="H435">
        <v>0</v>
      </c>
      <c r="I435">
        <v>40</v>
      </c>
      <c r="J435" t="s">
        <v>48</v>
      </c>
      <c r="K435" t="s">
        <v>11</v>
      </c>
    </row>
    <row r="436" spans="1:11" x14ac:dyDescent="0.3">
      <c r="A436" s="65">
        <v>46208</v>
      </c>
      <c r="B436" t="s">
        <v>206</v>
      </c>
      <c r="C436">
        <v>13.35</v>
      </c>
      <c r="D436">
        <v>34.270000000000003</v>
      </c>
      <c r="E436">
        <v>20</v>
      </c>
      <c r="F436">
        <v>0</v>
      </c>
      <c r="G436">
        <v>10</v>
      </c>
      <c r="H436">
        <v>0</v>
      </c>
      <c r="I436">
        <v>40</v>
      </c>
      <c r="J436" t="s">
        <v>48</v>
      </c>
      <c r="K436" t="s">
        <v>11</v>
      </c>
    </row>
    <row r="437" spans="1:11" x14ac:dyDescent="0.3">
      <c r="A437" s="65">
        <v>46208</v>
      </c>
      <c r="B437" t="s">
        <v>207</v>
      </c>
      <c r="C437">
        <v>0.43</v>
      </c>
      <c r="D437">
        <v>17.73</v>
      </c>
      <c r="E437">
        <v>20</v>
      </c>
      <c r="F437">
        <v>0</v>
      </c>
      <c r="G437">
        <v>10</v>
      </c>
      <c r="H437">
        <v>0</v>
      </c>
      <c r="I437">
        <v>40</v>
      </c>
      <c r="J437" t="s">
        <v>48</v>
      </c>
      <c r="K437" t="s">
        <v>11</v>
      </c>
    </row>
    <row r="438" spans="1:11" x14ac:dyDescent="0.3">
      <c r="A438" s="65">
        <v>46208</v>
      </c>
      <c r="B438" t="s">
        <v>206</v>
      </c>
      <c r="C438">
        <v>13.35</v>
      </c>
      <c r="D438">
        <v>34.270000000000003</v>
      </c>
      <c r="E438">
        <v>20</v>
      </c>
      <c r="F438">
        <v>0</v>
      </c>
      <c r="G438">
        <v>10</v>
      </c>
      <c r="H438">
        <v>0</v>
      </c>
      <c r="I438">
        <v>40</v>
      </c>
      <c r="J438" t="s">
        <v>48</v>
      </c>
      <c r="K438" t="s">
        <v>11</v>
      </c>
    </row>
    <row r="439" spans="1:11" x14ac:dyDescent="0.3">
      <c r="A439" s="65">
        <v>46208</v>
      </c>
      <c r="B439" t="s">
        <v>207</v>
      </c>
      <c r="C439">
        <v>0.43</v>
      </c>
      <c r="D439">
        <v>17.73</v>
      </c>
      <c r="E439">
        <v>20</v>
      </c>
      <c r="F439">
        <v>0</v>
      </c>
      <c r="G439">
        <v>10</v>
      </c>
      <c r="H439">
        <v>0</v>
      </c>
      <c r="I439">
        <v>40</v>
      </c>
      <c r="J439" t="s">
        <v>48</v>
      </c>
      <c r="K439" t="s">
        <v>11</v>
      </c>
    </row>
    <row r="440" spans="1:11" x14ac:dyDescent="0.3">
      <c r="A440" s="65">
        <v>46207</v>
      </c>
      <c r="B440" t="s">
        <v>13</v>
      </c>
      <c r="C440">
        <v>18</v>
      </c>
      <c r="D440">
        <v>57</v>
      </c>
      <c r="E440">
        <v>20.23</v>
      </c>
      <c r="F440">
        <v>0</v>
      </c>
      <c r="G440">
        <v>5</v>
      </c>
      <c r="H440">
        <v>0</v>
      </c>
      <c r="I440">
        <v>32</v>
      </c>
      <c r="J440" t="s">
        <v>48</v>
      </c>
      <c r="K440" t="s">
        <v>13</v>
      </c>
    </row>
    <row r="441" spans="1:11" x14ac:dyDescent="0.3">
      <c r="A441" s="65">
        <v>46207</v>
      </c>
      <c r="B441" t="s">
        <v>206</v>
      </c>
      <c r="C441">
        <v>23.13</v>
      </c>
      <c r="D441">
        <v>36.520000000000003</v>
      </c>
      <c r="E441">
        <v>20</v>
      </c>
      <c r="F441">
        <v>0</v>
      </c>
      <c r="G441">
        <v>10</v>
      </c>
      <c r="H441">
        <v>0</v>
      </c>
      <c r="I441">
        <v>40</v>
      </c>
      <c r="J441" t="s">
        <v>48</v>
      </c>
      <c r="K441" t="s">
        <v>11</v>
      </c>
    </row>
    <row r="442" spans="1:11" x14ac:dyDescent="0.3">
      <c r="A442" s="65">
        <v>46207</v>
      </c>
      <c r="B442" t="s">
        <v>207</v>
      </c>
      <c r="C442">
        <v>3.12</v>
      </c>
      <c r="D442">
        <v>20.059999999999999</v>
      </c>
      <c r="E442">
        <v>20</v>
      </c>
      <c r="F442">
        <v>0</v>
      </c>
      <c r="G442">
        <v>10</v>
      </c>
      <c r="H442">
        <v>0</v>
      </c>
      <c r="I442">
        <v>40</v>
      </c>
      <c r="J442" t="s">
        <v>48</v>
      </c>
      <c r="K442" t="s">
        <v>11</v>
      </c>
    </row>
    <row r="443" spans="1:11" x14ac:dyDescent="0.3">
      <c r="A443" s="65">
        <v>46207</v>
      </c>
      <c r="B443" t="s">
        <v>206</v>
      </c>
      <c r="C443">
        <v>16.14</v>
      </c>
      <c r="D443">
        <v>37.18</v>
      </c>
      <c r="E443">
        <v>20</v>
      </c>
      <c r="F443">
        <v>0</v>
      </c>
      <c r="G443">
        <v>10</v>
      </c>
      <c r="H443">
        <v>0</v>
      </c>
      <c r="I443">
        <v>40</v>
      </c>
      <c r="J443" t="s">
        <v>48</v>
      </c>
      <c r="K443" t="s">
        <v>11</v>
      </c>
    </row>
    <row r="444" spans="1:11" x14ac:dyDescent="0.3">
      <c r="A444" s="65">
        <v>46207</v>
      </c>
      <c r="B444" t="s">
        <v>207</v>
      </c>
      <c r="C444">
        <v>2.54</v>
      </c>
      <c r="D444">
        <v>23.04</v>
      </c>
      <c r="E444">
        <v>20</v>
      </c>
      <c r="F444">
        <v>0</v>
      </c>
      <c r="G444">
        <v>10</v>
      </c>
      <c r="H444">
        <v>0</v>
      </c>
      <c r="I444">
        <v>40</v>
      </c>
      <c r="J444" t="s">
        <v>48</v>
      </c>
      <c r="K444" t="s">
        <v>11</v>
      </c>
    </row>
    <row r="445" spans="1:11" x14ac:dyDescent="0.3">
      <c r="A445" s="65">
        <v>46207</v>
      </c>
      <c r="B445" t="s">
        <v>206</v>
      </c>
      <c r="C445">
        <v>17.350000000000001</v>
      </c>
      <c r="D445">
        <v>36.270000000000003</v>
      </c>
      <c r="E445">
        <v>20</v>
      </c>
      <c r="F445">
        <v>0</v>
      </c>
      <c r="G445">
        <v>10</v>
      </c>
      <c r="H445">
        <v>0</v>
      </c>
      <c r="I445">
        <v>40</v>
      </c>
      <c r="J445" t="s">
        <v>48</v>
      </c>
      <c r="K445" t="s">
        <v>11</v>
      </c>
    </row>
    <row r="446" spans="1:11" x14ac:dyDescent="0.3">
      <c r="A446" s="65">
        <v>46207</v>
      </c>
      <c r="B446" t="s">
        <v>207</v>
      </c>
      <c r="C446">
        <v>4.43</v>
      </c>
      <c r="D446">
        <v>19.73</v>
      </c>
      <c r="E446">
        <v>20</v>
      </c>
      <c r="F446">
        <v>0</v>
      </c>
      <c r="G446">
        <v>10</v>
      </c>
      <c r="H446">
        <v>0</v>
      </c>
      <c r="I446">
        <v>40</v>
      </c>
      <c r="J446" t="s">
        <v>48</v>
      </c>
      <c r="K446" t="s">
        <v>11</v>
      </c>
    </row>
    <row r="447" spans="1:11" x14ac:dyDescent="0.3">
      <c r="A447" s="65">
        <v>46207</v>
      </c>
      <c r="B447" t="s">
        <v>206</v>
      </c>
      <c r="C447">
        <v>17.350000000000001</v>
      </c>
      <c r="D447">
        <v>36.270000000000003</v>
      </c>
      <c r="E447">
        <v>20</v>
      </c>
      <c r="F447">
        <v>0</v>
      </c>
      <c r="G447">
        <v>10</v>
      </c>
      <c r="H447">
        <v>0</v>
      </c>
      <c r="I447">
        <v>40</v>
      </c>
      <c r="J447" t="s">
        <v>48</v>
      </c>
      <c r="K447" t="s">
        <v>11</v>
      </c>
    </row>
    <row r="448" spans="1:11" x14ac:dyDescent="0.3">
      <c r="A448" s="65">
        <v>46207</v>
      </c>
      <c r="B448" t="s">
        <v>207</v>
      </c>
      <c r="C448">
        <v>4.43</v>
      </c>
      <c r="D448">
        <v>19.73</v>
      </c>
      <c r="E448">
        <v>20</v>
      </c>
      <c r="F448">
        <v>0</v>
      </c>
      <c r="G448">
        <v>10</v>
      </c>
      <c r="H448">
        <v>0</v>
      </c>
      <c r="I448">
        <v>40</v>
      </c>
      <c r="J448" t="s">
        <v>48</v>
      </c>
      <c r="K448" t="s">
        <v>11</v>
      </c>
    </row>
    <row r="449" spans="1:11" x14ac:dyDescent="0.3">
      <c r="A449" s="65">
        <v>46207</v>
      </c>
      <c r="B449" t="s">
        <v>206</v>
      </c>
      <c r="C449">
        <v>17.350000000000001</v>
      </c>
      <c r="D449">
        <v>36.270000000000003</v>
      </c>
      <c r="E449">
        <v>20</v>
      </c>
      <c r="F449">
        <v>0</v>
      </c>
      <c r="G449">
        <v>10</v>
      </c>
      <c r="H449">
        <v>0</v>
      </c>
      <c r="I449">
        <v>40</v>
      </c>
      <c r="J449" t="s">
        <v>48</v>
      </c>
      <c r="K449" t="s">
        <v>11</v>
      </c>
    </row>
    <row r="450" spans="1:11" x14ac:dyDescent="0.3">
      <c r="A450" s="65">
        <v>46207</v>
      </c>
      <c r="B450" t="s">
        <v>207</v>
      </c>
      <c r="C450">
        <v>4.43</v>
      </c>
      <c r="D450">
        <v>19.73</v>
      </c>
      <c r="E450">
        <v>20</v>
      </c>
      <c r="F450">
        <v>0</v>
      </c>
      <c r="G450">
        <v>10</v>
      </c>
      <c r="H450">
        <v>0</v>
      </c>
      <c r="I450">
        <v>40</v>
      </c>
      <c r="J450" t="s">
        <v>48</v>
      </c>
      <c r="K450" t="s">
        <v>11</v>
      </c>
    </row>
    <row r="451" spans="1:11" x14ac:dyDescent="0.3">
      <c r="A451" s="65">
        <v>46206</v>
      </c>
      <c r="B451" t="s">
        <v>13</v>
      </c>
      <c r="C451">
        <v>13</v>
      </c>
      <c r="D451">
        <v>52</v>
      </c>
      <c r="E451">
        <v>20.18</v>
      </c>
      <c r="F451">
        <v>0</v>
      </c>
      <c r="G451">
        <v>5</v>
      </c>
      <c r="H451">
        <v>0</v>
      </c>
      <c r="I451">
        <v>45</v>
      </c>
      <c r="J451" t="s">
        <v>48</v>
      </c>
      <c r="K451" t="s">
        <v>13</v>
      </c>
    </row>
    <row r="452" spans="1:11" x14ac:dyDescent="0.3">
      <c r="A452" s="65">
        <v>46206</v>
      </c>
      <c r="B452" t="s">
        <v>206</v>
      </c>
      <c r="C452">
        <v>22.13</v>
      </c>
      <c r="D452">
        <v>36.020000000000003</v>
      </c>
      <c r="E452">
        <v>20</v>
      </c>
      <c r="F452">
        <v>0</v>
      </c>
      <c r="G452">
        <v>10</v>
      </c>
      <c r="H452">
        <v>0</v>
      </c>
      <c r="I452">
        <v>40</v>
      </c>
      <c r="J452" t="s">
        <v>48</v>
      </c>
      <c r="K452" t="s">
        <v>11</v>
      </c>
    </row>
    <row r="453" spans="1:11" x14ac:dyDescent="0.3">
      <c r="A453" s="65">
        <v>46206</v>
      </c>
      <c r="B453" t="s">
        <v>207</v>
      </c>
      <c r="C453">
        <v>2.12</v>
      </c>
      <c r="D453">
        <v>19.559999999999999</v>
      </c>
      <c r="E453">
        <v>20</v>
      </c>
      <c r="F453">
        <v>0</v>
      </c>
      <c r="G453">
        <v>10</v>
      </c>
      <c r="H453">
        <v>0</v>
      </c>
      <c r="I453">
        <v>40</v>
      </c>
      <c r="J453" t="s">
        <v>48</v>
      </c>
      <c r="K453" t="s">
        <v>11</v>
      </c>
    </row>
    <row r="454" spans="1:11" x14ac:dyDescent="0.3">
      <c r="A454" s="65">
        <v>46206</v>
      </c>
      <c r="B454" t="s">
        <v>206</v>
      </c>
      <c r="C454">
        <v>15.14</v>
      </c>
      <c r="D454">
        <v>36.68</v>
      </c>
      <c r="E454">
        <v>20</v>
      </c>
      <c r="F454">
        <v>0</v>
      </c>
      <c r="G454">
        <v>10</v>
      </c>
      <c r="H454">
        <v>0</v>
      </c>
      <c r="I454">
        <v>40</v>
      </c>
      <c r="J454" t="s">
        <v>48</v>
      </c>
      <c r="K454" t="s">
        <v>11</v>
      </c>
    </row>
    <row r="455" spans="1:11" x14ac:dyDescent="0.3">
      <c r="A455" s="65">
        <v>46206</v>
      </c>
      <c r="B455" t="s">
        <v>207</v>
      </c>
      <c r="C455">
        <v>1.54</v>
      </c>
      <c r="D455">
        <v>22.54</v>
      </c>
      <c r="E455">
        <v>20</v>
      </c>
      <c r="F455">
        <v>0</v>
      </c>
      <c r="G455">
        <v>10</v>
      </c>
      <c r="H455">
        <v>0</v>
      </c>
      <c r="I455">
        <v>40</v>
      </c>
      <c r="J455" t="s">
        <v>48</v>
      </c>
      <c r="K455" t="s">
        <v>11</v>
      </c>
    </row>
    <row r="456" spans="1:11" x14ac:dyDescent="0.3">
      <c r="A456" s="65">
        <v>46206</v>
      </c>
      <c r="B456" t="s">
        <v>206</v>
      </c>
      <c r="C456">
        <v>16.350000000000001</v>
      </c>
      <c r="D456">
        <v>35.770000000000003</v>
      </c>
      <c r="E456">
        <v>20</v>
      </c>
      <c r="F456">
        <v>0</v>
      </c>
      <c r="G456">
        <v>10</v>
      </c>
      <c r="H456">
        <v>0</v>
      </c>
      <c r="I456">
        <v>40</v>
      </c>
      <c r="J456" t="s">
        <v>48</v>
      </c>
      <c r="K456" t="s">
        <v>11</v>
      </c>
    </row>
    <row r="457" spans="1:11" x14ac:dyDescent="0.3">
      <c r="A457" s="65">
        <v>46206</v>
      </c>
      <c r="B457" t="s">
        <v>207</v>
      </c>
      <c r="C457">
        <v>3.43</v>
      </c>
      <c r="D457">
        <v>19.23</v>
      </c>
      <c r="E457">
        <v>20</v>
      </c>
      <c r="F457">
        <v>0</v>
      </c>
      <c r="G457">
        <v>10</v>
      </c>
      <c r="H457">
        <v>0</v>
      </c>
      <c r="I457">
        <v>40</v>
      </c>
      <c r="J457" t="s">
        <v>48</v>
      </c>
      <c r="K457" t="s">
        <v>11</v>
      </c>
    </row>
    <row r="458" spans="1:11" x14ac:dyDescent="0.3">
      <c r="A458" s="65">
        <v>46206</v>
      </c>
      <c r="B458" t="s">
        <v>206</v>
      </c>
      <c r="C458">
        <v>16.350000000000001</v>
      </c>
      <c r="D458">
        <v>35.770000000000003</v>
      </c>
      <c r="E458">
        <v>20</v>
      </c>
      <c r="F458">
        <v>0</v>
      </c>
      <c r="G458">
        <v>10</v>
      </c>
      <c r="H458">
        <v>0</v>
      </c>
      <c r="I458">
        <v>40</v>
      </c>
      <c r="J458" t="s">
        <v>48</v>
      </c>
      <c r="K458" t="s">
        <v>11</v>
      </c>
    </row>
    <row r="459" spans="1:11" x14ac:dyDescent="0.3">
      <c r="A459" s="65">
        <v>46206</v>
      </c>
      <c r="B459" t="s">
        <v>207</v>
      </c>
      <c r="C459">
        <v>3.43</v>
      </c>
      <c r="D459">
        <v>19.23</v>
      </c>
      <c r="E459">
        <v>20</v>
      </c>
      <c r="F459">
        <v>0</v>
      </c>
      <c r="G459">
        <v>10</v>
      </c>
      <c r="H459">
        <v>0</v>
      </c>
      <c r="I459">
        <v>40</v>
      </c>
      <c r="J459" t="s">
        <v>48</v>
      </c>
      <c r="K459" t="s">
        <v>11</v>
      </c>
    </row>
    <row r="460" spans="1:11" x14ac:dyDescent="0.3">
      <c r="A460" s="65">
        <v>46206</v>
      </c>
      <c r="B460" t="s">
        <v>206</v>
      </c>
      <c r="C460">
        <v>16.350000000000001</v>
      </c>
      <c r="D460">
        <v>35.770000000000003</v>
      </c>
      <c r="E460">
        <v>20</v>
      </c>
      <c r="F460">
        <v>0</v>
      </c>
      <c r="G460">
        <v>10</v>
      </c>
      <c r="H460">
        <v>0</v>
      </c>
      <c r="I460">
        <v>40</v>
      </c>
      <c r="J460" t="s">
        <v>48</v>
      </c>
      <c r="K460" t="s">
        <v>11</v>
      </c>
    </row>
    <row r="461" spans="1:11" x14ac:dyDescent="0.3">
      <c r="A461" s="65">
        <v>46206</v>
      </c>
      <c r="B461" t="s">
        <v>207</v>
      </c>
      <c r="C461">
        <v>3.43</v>
      </c>
      <c r="D461">
        <v>19.23</v>
      </c>
      <c r="E461">
        <v>20</v>
      </c>
      <c r="F461">
        <v>0</v>
      </c>
      <c r="G461">
        <v>10</v>
      </c>
      <c r="H461">
        <v>0</v>
      </c>
      <c r="I461">
        <v>40</v>
      </c>
      <c r="J461" t="s">
        <v>48</v>
      </c>
      <c r="K461" t="s">
        <v>11</v>
      </c>
    </row>
    <row r="462" spans="1:11" x14ac:dyDescent="0.3">
      <c r="A462" s="65">
        <v>46205</v>
      </c>
      <c r="B462" t="s">
        <v>13</v>
      </c>
      <c r="C462">
        <v>20</v>
      </c>
      <c r="D462">
        <v>50</v>
      </c>
      <c r="E462">
        <v>20.13</v>
      </c>
      <c r="F462">
        <v>0</v>
      </c>
      <c r="G462">
        <v>8</v>
      </c>
      <c r="H462">
        <v>0</v>
      </c>
      <c r="I462">
        <v>44</v>
      </c>
      <c r="J462" t="s">
        <v>48</v>
      </c>
      <c r="K462" t="s">
        <v>13</v>
      </c>
    </row>
    <row r="463" spans="1:11" x14ac:dyDescent="0.3">
      <c r="A463" s="65">
        <v>46205</v>
      </c>
      <c r="B463" t="s">
        <v>206</v>
      </c>
      <c r="C463">
        <v>21.13</v>
      </c>
      <c r="D463">
        <v>35.520000000000003</v>
      </c>
      <c r="E463">
        <v>20</v>
      </c>
      <c r="F463">
        <v>0</v>
      </c>
      <c r="G463">
        <v>10</v>
      </c>
      <c r="H463">
        <v>0</v>
      </c>
      <c r="I463">
        <v>40</v>
      </c>
      <c r="J463" t="s">
        <v>48</v>
      </c>
      <c r="K463" t="s">
        <v>11</v>
      </c>
    </row>
    <row r="464" spans="1:11" x14ac:dyDescent="0.3">
      <c r="A464" s="65">
        <v>46205</v>
      </c>
      <c r="B464" t="s">
        <v>207</v>
      </c>
      <c r="C464">
        <v>1.1200000000000001</v>
      </c>
      <c r="D464">
        <v>19.059999999999999</v>
      </c>
      <c r="E464">
        <v>20</v>
      </c>
      <c r="F464">
        <v>0</v>
      </c>
      <c r="G464">
        <v>10</v>
      </c>
      <c r="H464">
        <v>0</v>
      </c>
      <c r="I464">
        <v>40</v>
      </c>
      <c r="J464" t="s">
        <v>48</v>
      </c>
      <c r="K464" t="s">
        <v>11</v>
      </c>
    </row>
    <row r="465" spans="1:11" x14ac:dyDescent="0.3">
      <c r="A465" s="65">
        <v>46205</v>
      </c>
      <c r="B465" t="s">
        <v>206</v>
      </c>
      <c r="C465">
        <v>14.14</v>
      </c>
      <c r="D465">
        <v>36.18</v>
      </c>
      <c r="E465">
        <v>20</v>
      </c>
      <c r="F465">
        <v>0</v>
      </c>
      <c r="G465">
        <v>10</v>
      </c>
      <c r="H465">
        <v>0</v>
      </c>
      <c r="I465">
        <v>40</v>
      </c>
      <c r="J465" t="s">
        <v>48</v>
      </c>
      <c r="K465" t="s">
        <v>11</v>
      </c>
    </row>
    <row r="466" spans="1:11" x14ac:dyDescent="0.3">
      <c r="A466" s="65">
        <v>46205</v>
      </c>
      <c r="B466" t="s">
        <v>207</v>
      </c>
      <c r="C466">
        <v>0.54</v>
      </c>
      <c r="D466">
        <v>22.04</v>
      </c>
      <c r="E466">
        <v>20</v>
      </c>
      <c r="F466">
        <v>0</v>
      </c>
      <c r="G466">
        <v>10</v>
      </c>
      <c r="H466">
        <v>0</v>
      </c>
      <c r="I466">
        <v>40</v>
      </c>
      <c r="J466" t="s">
        <v>48</v>
      </c>
      <c r="K466" t="s">
        <v>11</v>
      </c>
    </row>
    <row r="467" spans="1:11" x14ac:dyDescent="0.3">
      <c r="A467" s="65">
        <v>46205</v>
      </c>
      <c r="B467" t="s">
        <v>206</v>
      </c>
      <c r="C467">
        <v>15.35</v>
      </c>
      <c r="D467">
        <v>35.270000000000003</v>
      </c>
      <c r="E467">
        <v>20</v>
      </c>
      <c r="F467">
        <v>0</v>
      </c>
      <c r="G467">
        <v>10</v>
      </c>
      <c r="H467">
        <v>0</v>
      </c>
      <c r="I467">
        <v>40</v>
      </c>
      <c r="J467" t="s">
        <v>48</v>
      </c>
      <c r="K467" t="s">
        <v>11</v>
      </c>
    </row>
    <row r="468" spans="1:11" x14ac:dyDescent="0.3">
      <c r="A468" s="65">
        <v>46205</v>
      </c>
      <c r="B468" t="s">
        <v>207</v>
      </c>
      <c r="C468">
        <v>2.4300000000000002</v>
      </c>
      <c r="D468">
        <v>18.73</v>
      </c>
      <c r="E468">
        <v>20</v>
      </c>
      <c r="F468">
        <v>0</v>
      </c>
      <c r="G468">
        <v>10</v>
      </c>
      <c r="H468">
        <v>0</v>
      </c>
      <c r="I468">
        <v>40</v>
      </c>
      <c r="J468" t="s">
        <v>48</v>
      </c>
      <c r="K468" t="s">
        <v>11</v>
      </c>
    </row>
    <row r="469" spans="1:11" x14ac:dyDescent="0.3">
      <c r="A469" s="65">
        <v>46205</v>
      </c>
      <c r="B469" t="s">
        <v>206</v>
      </c>
      <c r="C469">
        <v>15.35</v>
      </c>
      <c r="D469">
        <v>35.270000000000003</v>
      </c>
      <c r="E469">
        <v>20</v>
      </c>
      <c r="F469">
        <v>0</v>
      </c>
      <c r="G469">
        <v>10</v>
      </c>
      <c r="H469">
        <v>0</v>
      </c>
      <c r="I469">
        <v>40</v>
      </c>
      <c r="J469" t="s">
        <v>48</v>
      </c>
      <c r="K469" t="s">
        <v>11</v>
      </c>
    </row>
    <row r="470" spans="1:11" x14ac:dyDescent="0.3">
      <c r="A470" s="65">
        <v>46205</v>
      </c>
      <c r="B470" t="s">
        <v>207</v>
      </c>
      <c r="C470">
        <v>2.4300000000000002</v>
      </c>
      <c r="D470">
        <v>18.73</v>
      </c>
      <c r="E470">
        <v>20</v>
      </c>
      <c r="F470">
        <v>0</v>
      </c>
      <c r="G470">
        <v>10</v>
      </c>
      <c r="H470">
        <v>0</v>
      </c>
      <c r="I470">
        <v>40</v>
      </c>
      <c r="J470" t="s">
        <v>48</v>
      </c>
      <c r="K470" t="s">
        <v>11</v>
      </c>
    </row>
    <row r="471" spans="1:11" x14ac:dyDescent="0.3">
      <c r="A471" s="65">
        <v>46205</v>
      </c>
      <c r="B471" t="s">
        <v>206</v>
      </c>
      <c r="C471">
        <v>15.35</v>
      </c>
      <c r="D471">
        <v>35.270000000000003</v>
      </c>
      <c r="E471">
        <v>20</v>
      </c>
      <c r="F471">
        <v>0</v>
      </c>
      <c r="G471">
        <v>10</v>
      </c>
      <c r="H471">
        <v>0</v>
      </c>
      <c r="I471">
        <v>40</v>
      </c>
      <c r="J471" t="s">
        <v>48</v>
      </c>
      <c r="K471" t="s">
        <v>11</v>
      </c>
    </row>
    <row r="472" spans="1:11" x14ac:dyDescent="0.3">
      <c r="A472" s="65">
        <v>46205</v>
      </c>
      <c r="B472" t="s">
        <v>207</v>
      </c>
      <c r="C472">
        <v>2.4300000000000002</v>
      </c>
      <c r="D472">
        <v>18.73</v>
      </c>
      <c r="E472">
        <v>20</v>
      </c>
      <c r="F472">
        <v>0</v>
      </c>
      <c r="G472">
        <v>10</v>
      </c>
      <c r="H472">
        <v>0</v>
      </c>
      <c r="I472">
        <v>40</v>
      </c>
      <c r="J472" t="s">
        <v>48</v>
      </c>
      <c r="K472" t="s">
        <v>11</v>
      </c>
    </row>
    <row r="473" spans="1:11" x14ac:dyDescent="0.3">
      <c r="A473" s="65">
        <v>46204</v>
      </c>
      <c r="B473" t="s">
        <v>13</v>
      </c>
      <c r="C473">
        <v>22</v>
      </c>
      <c r="D473">
        <v>57</v>
      </c>
      <c r="E473">
        <v>20.079999999999998</v>
      </c>
      <c r="F473">
        <v>0</v>
      </c>
      <c r="G473">
        <v>6</v>
      </c>
      <c r="H473">
        <v>0</v>
      </c>
      <c r="I473">
        <v>38</v>
      </c>
      <c r="J473" t="s">
        <v>48</v>
      </c>
      <c r="K473" t="s">
        <v>13</v>
      </c>
    </row>
    <row r="474" spans="1:11" x14ac:dyDescent="0.3">
      <c r="A474" s="65">
        <v>46204</v>
      </c>
      <c r="B474" t="s">
        <v>206</v>
      </c>
      <c r="C474">
        <v>20.13</v>
      </c>
      <c r="D474">
        <v>35.020000000000003</v>
      </c>
      <c r="E474">
        <v>20</v>
      </c>
      <c r="F474">
        <v>0</v>
      </c>
      <c r="G474">
        <v>10</v>
      </c>
      <c r="H474">
        <v>0</v>
      </c>
      <c r="I474">
        <v>40</v>
      </c>
      <c r="J474" t="s">
        <v>48</v>
      </c>
      <c r="K474" t="s">
        <v>11</v>
      </c>
    </row>
    <row r="475" spans="1:11" x14ac:dyDescent="0.3">
      <c r="A475" s="65">
        <v>46204</v>
      </c>
      <c r="B475" t="s">
        <v>207</v>
      </c>
      <c r="C475">
        <v>0.12</v>
      </c>
      <c r="D475">
        <v>18.559999999999999</v>
      </c>
      <c r="E475">
        <v>20</v>
      </c>
      <c r="F475">
        <v>0</v>
      </c>
      <c r="G475">
        <v>10</v>
      </c>
      <c r="H475">
        <v>0</v>
      </c>
      <c r="I475">
        <v>40</v>
      </c>
      <c r="J475" t="s">
        <v>48</v>
      </c>
      <c r="K475" t="s">
        <v>11</v>
      </c>
    </row>
    <row r="476" spans="1:11" x14ac:dyDescent="0.3">
      <c r="A476" s="65">
        <v>46204</v>
      </c>
      <c r="B476" t="s">
        <v>206</v>
      </c>
      <c r="C476">
        <v>13.14</v>
      </c>
      <c r="D476">
        <v>35.68</v>
      </c>
      <c r="E476">
        <v>20</v>
      </c>
      <c r="F476">
        <v>0</v>
      </c>
      <c r="G476">
        <v>10</v>
      </c>
      <c r="H476">
        <v>0</v>
      </c>
      <c r="I476">
        <v>40</v>
      </c>
      <c r="J476" t="s">
        <v>48</v>
      </c>
      <c r="K476" t="s">
        <v>11</v>
      </c>
    </row>
    <row r="477" spans="1:11" x14ac:dyDescent="0.3">
      <c r="A477" s="65">
        <v>46204</v>
      </c>
      <c r="B477" t="s">
        <v>207</v>
      </c>
      <c r="C477">
        <v>-0.46</v>
      </c>
      <c r="D477">
        <v>21.54</v>
      </c>
      <c r="E477">
        <v>20</v>
      </c>
      <c r="F477">
        <v>0</v>
      </c>
      <c r="G477">
        <v>10</v>
      </c>
      <c r="H477">
        <v>0</v>
      </c>
      <c r="I477">
        <v>40</v>
      </c>
      <c r="J477" t="s">
        <v>48</v>
      </c>
      <c r="K477" t="s">
        <v>11</v>
      </c>
    </row>
    <row r="478" spans="1:11" x14ac:dyDescent="0.3">
      <c r="A478" s="65">
        <v>46204</v>
      </c>
      <c r="B478" t="s">
        <v>206</v>
      </c>
      <c r="C478">
        <v>14.35</v>
      </c>
      <c r="D478">
        <v>34.770000000000003</v>
      </c>
      <c r="E478">
        <v>20</v>
      </c>
      <c r="F478">
        <v>0</v>
      </c>
      <c r="G478">
        <v>10</v>
      </c>
      <c r="H478">
        <v>0</v>
      </c>
      <c r="I478">
        <v>40</v>
      </c>
      <c r="J478" t="s">
        <v>48</v>
      </c>
      <c r="K478" t="s">
        <v>11</v>
      </c>
    </row>
    <row r="479" spans="1:11" x14ac:dyDescent="0.3">
      <c r="A479" s="65">
        <v>46204</v>
      </c>
      <c r="B479" t="s">
        <v>207</v>
      </c>
      <c r="C479">
        <v>1.43</v>
      </c>
      <c r="D479">
        <v>18.23</v>
      </c>
      <c r="E479">
        <v>20</v>
      </c>
      <c r="F479">
        <v>0</v>
      </c>
      <c r="G479">
        <v>10</v>
      </c>
      <c r="H479">
        <v>0</v>
      </c>
      <c r="I479">
        <v>40</v>
      </c>
      <c r="J479" t="s">
        <v>48</v>
      </c>
      <c r="K479" t="s">
        <v>11</v>
      </c>
    </row>
    <row r="480" spans="1:11" x14ac:dyDescent="0.3">
      <c r="A480" s="65">
        <v>46204</v>
      </c>
      <c r="B480" t="s">
        <v>206</v>
      </c>
      <c r="C480">
        <v>14.35</v>
      </c>
      <c r="D480">
        <v>34.770000000000003</v>
      </c>
      <c r="E480">
        <v>20</v>
      </c>
      <c r="F480">
        <v>0</v>
      </c>
      <c r="G480">
        <v>10</v>
      </c>
      <c r="H480">
        <v>0</v>
      </c>
      <c r="I480">
        <v>40</v>
      </c>
      <c r="J480" t="s">
        <v>48</v>
      </c>
      <c r="K480" t="s">
        <v>11</v>
      </c>
    </row>
    <row r="481" spans="1:11" x14ac:dyDescent="0.3">
      <c r="A481" s="65">
        <v>46204</v>
      </c>
      <c r="B481" t="s">
        <v>207</v>
      </c>
      <c r="C481">
        <v>1.43</v>
      </c>
      <c r="D481">
        <v>18.23</v>
      </c>
      <c r="E481">
        <v>20</v>
      </c>
      <c r="F481">
        <v>0</v>
      </c>
      <c r="G481">
        <v>10</v>
      </c>
      <c r="H481">
        <v>0</v>
      </c>
      <c r="I481">
        <v>40</v>
      </c>
      <c r="J481" t="s">
        <v>48</v>
      </c>
      <c r="K481" t="s">
        <v>11</v>
      </c>
    </row>
    <row r="482" spans="1:11" x14ac:dyDescent="0.3">
      <c r="A482" s="65">
        <v>46204</v>
      </c>
      <c r="B482" t="s">
        <v>206</v>
      </c>
      <c r="C482">
        <v>14.35</v>
      </c>
      <c r="D482">
        <v>34.770000000000003</v>
      </c>
      <c r="E482">
        <v>20</v>
      </c>
      <c r="F482">
        <v>0</v>
      </c>
      <c r="G482">
        <v>10</v>
      </c>
      <c r="H482">
        <v>0</v>
      </c>
      <c r="I482">
        <v>40</v>
      </c>
      <c r="J482" t="s">
        <v>48</v>
      </c>
      <c r="K482" t="s">
        <v>11</v>
      </c>
    </row>
    <row r="483" spans="1:11" x14ac:dyDescent="0.3">
      <c r="A483" s="65">
        <v>46204</v>
      </c>
      <c r="B483" t="s">
        <v>207</v>
      </c>
      <c r="C483">
        <v>1.43</v>
      </c>
      <c r="D483">
        <v>18.23</v>
      </c>
      <c r="E483">
        <v>20</v>
      </c>
      <c r="F483">
        <v>0</v>
      </c>
      <c r="G483">
        <v>10</v>
      </c>
      <c r="H483">
        <v>0</v>
      </c>
      <c r="I483">
        <v>40</v>
      </c>
      <c r="J483" t="s">
        <v>48</v>
      </c>
      <c r="K483" t="s">
        <v>11</v>
      </c>
    </row>
    <row r="484" spans="1:11" x14ac:dyDescent="0.3">
      <c r="A484" s="65">
        <v>46203</v>
      </c>
      <c r="B484" t="s">
        <v>206</v>
      </c>
      <c r="C484">
        <v>14.88</v>
      </c>
      <c r="D484">
        <v>35.35</v>
      </c>
      <c r="E484">
        <v>20</v>
      </c>
      <c r="F484">
        <v>0</v>
      </c>
      <c r="G484">
        <v>10</v>
      </c>
      <c r="H484">
        <v>0</v>
      </c>
      <c r="I484">
        <v>40</v>
      </c>
      <c r="J484" t="s">
        <v>48</v>
      </c>
      <c r="K484" t="s">
        <v>11</v>
      </c>
    </row>
    <row r="485" spans="1:11" x14ac:dyDescent="0.3">
      <c r="A485" s="65">
        <v>46203</v>
      </c>
      <c r="B485" t="s">
        <v>207</v>
      </c>
      <c r="C485">
        <v>-1.61</v>
      </c>
      <c r="D485">
        <v>21.13</v>
      </c>
      <c r="E485">
        <v>20</v>
      </c>
      <c r="F485">
        <v>0</v>
      </c>
      <c r="G485">
        <v>10</v>
      </c>
      <c r="H485">
        <v>0</v>
      </c>
      <c r="I485">
        <v>40</v>
      </c>
      <c r="J485" t="s">
        <v>48</v>
      </c>
      <c r="K485" t="s">
        <v>11</v>
      </c>
    </row>
    <row r="486" spans="1:11" x14ac:dyDescent="0.3">
      <c r="A486" s="65">
        <v>46203</v>
      </c>
      <c r="B486" t="s">
        <v>206</v>
      </c>
      <c r="C486">
        <v>12.14</v>
      </c>
      <c r="D486">
        <v>35.18</v>
      </c>
      <c r="E486">
        <v>20</v>
      </c>
      <c r="F486">
        <v>0</v>
      </c>
      <c r="G486">
        <v>10</v>
      </c>
      <c r="H486">
        <v>0</v>
      </c>
      <c r="I486">
        <v>40</v>
      </c>
      <c r="J486" t="s">
        <v>48</v>
      </c>
      <c r="K486" t="s">
        <v>11</v>
      </c>
    </row>
    <row r="487" spans="1:11" x14ac:dyDescent="0.3">
      <c r="A487" s="65">
        <v>46203</v>
      </c>
      <c r="B487" t="s">
        <v>207</v>
      </c>
      <c r="C487">
        <v>-1.46</v>
      </c>
      <c r="D487">
        <v>21.04</v>
      </c>
      <c r="E487">
        <v>20</v>
      </c>
      <c r="F487">
        <v>0</v>
      </c>
      <c r="G487">
        <v>10</v>
      </c>
      <c r="H487">
        <v>0</v>
      </c>
      <c r="I487">
        <v>40</v>
      </c>
      <c r="J487" t="s">
        <v>48</v>
      </c>
      <c r="K487" t="s">
        <v>11</v>
      </c>
    </row>
  </sheetData>
  <conditionalFormatting sqref="A488:K493 A64:J484 A485:B487 E485:J487">
    <cfRule type="expression" dxfId="45" priority="42">
      <formula>$J64="Critical"</formula>
    </cfRule>
    <cfRule type="expression" dxfId="44" priority="43">
      <formula>$J64="Warning"</formula>
    </cfRule>
  </conditionalFormatting>
  <conditionalFormatting sqref="C27:C484 C488:C493">
    <cfRule type="cellIs" dxfId="43" priority="44" operator="greaterThan">
      <formula>90</formula>
    </cfRule>
    <cfRule type="cellIs" dxfId="42" priority="45" operator="between">
      <formula>70</formula>
      <formula>90</formula>
    </cfRule>
    <cfRule type="cellIs" dxfId="41" priority="46" operator="lessThan">
      <formula>70</formula>
    </cfRule>
  </conditionalFormatting>
  <conditionalFormatting sqref="D64:D484 D488:D493">
    <cfRule type="cellIs" dxfId="40" priority="47" operator="greaterThan">
      <formula>90</formula>
    </cfRule>
    <cfRule type="cellIs" dxfId="39" priority="48" operator="between">
      <formula>70</formula>
      <formula>90</formula>
    </cfRule>
  </conditionalFormatting>
  <conditionalFormatting sqref="E27:E493">
    <cfRule type="cellIs" dxfId="38" priority="49" operator="greaterThan">
      <formula>85</formula>
    </cfRule>
    <cfRule type="cellIs" dxfId="37" priority="50" operator="between">
      <formula>70</formula>
      <formula>85</formula>
    </cfRule>
  </conditionalFormatting>
  <conditionalFormatting sqref="F27:F493">
    <cfRule type="cellIs" dxfId="36" priority="51" operator="greaterThan">
      <formula>90</formula>
    </cfRule>
  </conditionalFormatting>
  <conditionalFormatting sqref="A27:C63 E27:J63">
    <cfRule type="expression" dxfId="35" priority="52">
      <formula>$J27="Critical"</formula>
    </cfRule>
    <cfRule type="expression" dxfId="34" priority="53">
      <formula>$J27="Warning"</formula>
    </cfRule>
  </conditionalFormatting>
  <conditionalFormatting sqref="C11:C26">
    <cfRule type="cellIs" dxfId="33" priority="26" operator="greaterThan">
      <formula>90</formula>
    </cfRule>
    <cfRule type="cellIs" dxfId="32" priority="27" operator="between">
      <formula>70</formula>
      <formula>90</formula>
    </cfRule>
    <cfRule type="cellIs" dxfId="31" priority="28" operator="lessThan">
      <formula>70</formula>
    </cfRule>
  </conditionalFormatting>
  <conditionalFormatting sqref="C11:C26">
    <cfRule type="expression" dxfId="30" priority="29">
      <formula>$J11="Critical"</formula>
    </cfRule>
    <cfRule type="expression" dxfId="29" priority="30">
      <formula>$J11="Warning"</formula>
    </cfRule>
  </conditionalFormatting>
  <conditionalFormatting sqref="D2">
    <cfRule type="cellIs" dxfId="28" priority="22" operator="greaterThan">
      <formula>90</formula>
    </cfRule>
    <cfRule type="cellIs" dxfId="27" priority="23" operator="between">
      <formula>70</formula>
      <formula>90</formula>
    </cfRule>
  </conditionalFormatting>
  <conditionalFormatting sqref="D2">
    <cfRule type="expression" dxfId="26" priority="24">
      <formula>$J2="Critical"</formula>
    </cfRule>
    <cfRule type="expression" dxfId="25" priority="25">
      <formula>$J2="Warning"</formula>
    </cfRule>
  </conditionalFormatting>
  <conditionalFormatting sqref="D3:D48 D485:D487">
    <cfRule type="cellIs" dxfId="24" priority="18" operator="greaterThan">
      <formula>90</formula>
    </cfRule>
    <cfRule type="cellIs" dxfId="23" priority="19" operator="between">
      <formula>70</formula>
      <formula>90</formula>
    </cfRule>
  </conditionalFormatting>
  <conditionalFormatting sqref="D3:D48 D485:D487">
    <cfRule type="expression" dxfId="22" priority="20">
      <formula>$J3="Critical"</formula>
    </cfRule>
    <cfRule type="expression" dxfId="21" priority="21">
      <formula>$J3="Warning"</formula>
    </cfRule>
  </conditionalFormatting>
  <conditionalFormatting sqref="D62:D63">
    <cfRule type="cellIs" dxfId="20" priority="14" operator="greaterThan">
      <formula>90</formula>
    </cfRule>
    <cfRule type="cellIs" dxfId="19" priority="15" operator="between">
      <formula>70</formula>
      <formula>90</formula>
    </cfRule>
  </conditionalFormatting>
  <conditionalFormatting sqref="D62:D63">
    <cfRule type="expression" dxfId="18" priority="16">
      <formula>$J62="Critical"</formula>
    </cfRule>
    <cfRule type="expression" dxfId="17" priority="17">
      <formula>$J62="Warning"</formula>
    </cfRule>
  </conditionalFormatting>
  <conditionalFormatting sqref="D49:D50 D60:D61">
    <cfRule type="cellIs" dxfId="16" priority="10" operator="greaterThan">
      <formula>90</formula>
    </cfRule>
    <cfRule type="cellIs" dxfId="15" priority="11" operator="between">
      <formula>70</formula>
      <formula>90</formula>
    </cfRule>
  </conditionalFormatting>
  <conditionalFormatting sqref="D49:D50 D60:D61">
    <cfRule type="expression" dxfId="14" priority="12">
      <formula>$J49="Critical"</formula>
    </cfRule>
    <cfRule type="expression" dxfId="13" priority="13">
      <formula>$J49="Warning"</formula>
    </cfRule>
  </conditionalFormatting>
  <conditionalFormatting sqref="D51:D59">
    <cfRule type="cellIs" dxfId="12" priority="6" operator="greaterThan">
      <formula>90</formula>
    </cfRule>
    <cfRule type="cellIs" dxfId="11" priority="7" operator="between">
      <formula>70</formula>
      <formula>90</formula>
    </cfRule>
  </conditionalFormatting>
  <conditionalFormatting sqref="D51:D59">
    <cfRule type="expression" dxfId="10" priority="8">
      <formula>$J51="Critical"</formula>
    </cfRule>
    <cfRule type="expression" dxfId="9" priority="9">
      <formula>$J51="Warning"</formula>
    </cfRule>
  </conditionalFormatting>
  <conditionalFormatting sqref="C2:C10 C485:C487">
    <cfRule type="cellIs" dxfId="8" priority="1" operator="greaterThan">
      <formula>90</formula>
    </cfRule>
    <cfRule type="cellIs" dxfId="7" priority="2" operator="between">
      <formula>70</formula>
      <formula>90</formula>
    </cfRule>
    <cfRule type="cellIs" dxfId="6" priority="3" operator="lessThan">
      <formula>70</formula>
    </cfRule>
  </conditionalFormatting>
  <conditionalFormatting sqref="C2:C10 C485:C487">
    <cfRule type="expression" dxfId="5" priority="4">
      <formula>$J2="Critical"</formula>
    </cfRule>
    <cfRule type="expression" dxfId="4" priority="5">
      <formula>$J2="Warning"</formula>
    </cfRule>
  </conditionalFormatting>
  <dataValidations count="2">
    <dataValidation type="list" allowBlank="1" sqref="K488:K493" xr:uid="{00000000-0002-0000-0500-000001000000}">
      <formula1>"Oracle,MySQL,MS SQL Server,PostgreSQL"</formula1>
      <formula2>0</formula2>
    </dataValidation>
    <dataValidation type="list" allowBlank="1" sqref="J27:J493" xr:uid="{00000000-0002-0000-0500-000000000000}">
      <formula1>"Healthy,Warning,Critical"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27"/>
  <sheetViews>
    <sheetView zoomScale="80" zoomScaleNormal="80" workbookViewId="0">
      <pane ySplit="2" topLeftCell="A3" activePane="bottomLeft" state="frozen"/>
      <selection pane="bottomLeft" activeCell="F7" sqref="F7"/>
    </sheetView>
  </sheetViews>
  <sheetFormatPr defaultColWidth="8.6640625" defaultRowHeight="13.2" x14ac:dyDescent="0.25"/>
  <cols>
    <col min="1" max="1" width="15.21875" style="61" bestFit="1" customWidth="1"/>
    <col min="2" max="2" width="15.88671875" style="43" bestFit="1" customWidth="1"/>
    <col min="3" max="3" width="16.5546875" style="43" bestFit="1" customWidth="1"/>
    <col min="4" max="4" width="18.88671875" style="44" bestFit="1" customWidth="1"/>
    <col min="5" max="5" width="27.109375" style="44" bestFit="1" customWidth="1"/>
    <col min="6" max="6" width="29.6640625" style="43" bestFit="1" customWidth="1"/>
    <col min="7" max="7" width="15.5546875" style="44" bestFit="1" customWidth="1"/>
    <col min="8" max="8" width="10" style="44" bestFit="1" customWidth="1"/>
    <col min="9" max="9" width="14.5546875" style="44" bestFit="1" customWidth="1"/>
    <col min="10" max="10" width="32.109375" style="44" bestFit="1" customWidth="1"/>
    <col min="11" max="11" width="10.5546875" style="43" bestFit="1" customWidth="1"/>
    <col min="12" max="12" width="15.109375" style="43" bestFit="1" customWidth="1"/>
    <col min="13" max="13" width="8.6640625" style="43"/>
    <col min="14" max="14" width="9.6640625" style="43" customWidth="1"/>
    <col min="15" max="15" width="14.88671875" style="43" customWidth="1"/>
    <col min="16" max="16" width="14.33203125" style="44" customWidth="1"/>
    <col min="17" max="17" width="15" style="43" customWidth="1"/>
    <col min="18" max="18" width="14" style="43" customWidth="1"/>
    <col min="19" max="23" width="8.6640625" style="43"/>
    <col min="24" max="24" width="5.88671875" style="43" customWidth="1"/>
    <col min="25" max="25" width="15.109375" style="43" customWidth="1"/>
    <col min="26" max="26" width="14.6640625" style="43" customWidth="1"/>
    <col min="27" max="27" width="15" style="43" customWidth="1"/>
    <col min="28" max="28" width="14" style="43" customWidth="1"/>
    <col min="29" max="33" width="8.6640625" style="43"/>
    <col min="34" max="34" width="6.88671875" style="43" customWidth="1"/>
    <col min="35" max="35" width="15.5546875" style="43" customWidth="1"/>
    <col min="36" max="36" width="14.88671875" style="43" customWidth="1"/>
    <col min="37" max="37" width="15" style="43" customWidth="1"/>
    <col min="38" max="38" width="14" style="43" customWidth="1"/>
    <col min="39" max="16384" width="8.6640625" style="43"/>
  </cols>
  <sheetData>
    <row r="1" spans="1:38" s="56" customFormat="1" ht="14.4" x14ac:dyDescent="0.3">
      <c r="A1" s="56" t="s">
        <v>134</v>
      </c>
      <c r="B1" s="56" t="s">
        <v>7</v>
      </c>
      <c r="C1" s="57" t="s">
        <v>135</v>
      </c>
      <c r="D1" s="57" t="s">
        <v>136</v>
      </c>
      <c r="E1" s="56" t="s">
        <v>21</v>
      </c>
      <c r="F1" s="57" t="s">
        <v>22</v>
      </c>
      <c r="G1" s="3" t="s">
        <v>15</v>
      </c>
      <c r="H1" s="56" t="s">
        <v>137</v>
      </c>
      <c r="I1" s="56" t="s">
        <v>173</v>
      </c>
      <c r="S1" s="58"/>
    </row>
    <row r="2" spans="1:38" ht="14.4" x14ac:dyDescent="0.3">
      <c r="A2" s="66" t="s">
        <v>138</v>
      </c>
      <c r="B2" s="67" t="s">
        <v>14</v>
      </c>
      <c r="C2" s="68">
        <v>198</v>
      </c>
      <c r="D2" s="68">
        <v>198</v>
      </c>
      <c r="E2" s="66">
        <v>0</v>
      </c>
      <c r="F2" s="69">
        <v>0</v>
      </c>
      <c r="G2" s="4">
        <v>100</v>
      </c>
      <c r="H2" s="70">
        <v>99.95</v>
      </c>
      <c r="I2" s="66" t="s">
        <v>180</v>
      </c>
      <c r="J2" s="59"/>
      <c r="K2" s="60"/>
      <c r="L2" s="60"/>
      <c r="M2" s="60"/>
      <c r="N2" s="59"/>
      <c r="O2" s="59"/>
      <c r="P2" s="56"/>
      <c r="Q2" s="56"/>
      <c r="R2" s="56"/>
      <c r="S2" s="59"/>
      <c r="T2" s="59"/>
      <c r="U2" s="60"/>
      <c r="V2" s="60"/>
      <c r="W2" s="60"/>
      <c r="X2" s="59"/>
      <c r="Y2" s="59"/>
      <c r="Z2" s="56"/>
    </row>
    <row r="3" spans="1:38" ht="26.4" x14ac:dyDescent="0.3">
      <c r="A3" s="66" t="s">
        <v>138</v>
      </c>
      <c r="B3" s="67" t="s">
        <v>13</v>
      </c>
      <c r="C3" s="68">
        <v>198</v>
      </c>
      <c r="D3" s="68">
        <v>198</v>
      </c>
      <c r="E3" s="66">
        <v>0</v>
      </c>
      <c r="F3" s="69">
        <v>0</v>
      </c>
      <c r="G3" s="4">
        <v>100</v>
      </c>
      <c r="H3" s="70">
        <v>99.95</v>
      </c>
      <c r="I3" s="66" t="s">
        <v>180</v>
      </c>
      <c r="P3" s="43"/>
      <c r="Q3" s="44"/>
      <c r="AA3" s="44"/>
    </row>
    <row r="4" spans="1:38" ht="14.4" x14ac:dyDescent="0.3">
      <c r="A4" s="66" t="s">
        <v>138</v>
      </c>
      <c r="B4" s="67" t="s">
        <v>11</v>
      </c>
      <c r="C4" s="68">
        <v>540</v>
      </c>
      <c r="D4" s="68">
        <v>540</v>
      </c>
      <c r="E4" s="66">
        <v>8.4599999999999995E-2</v>
      </c>
      <c r="F4" s="69">
        <v>0</v>
      </c>
      <c r="G4" s="4">
        <v>100</v>
      </c>
      <c r="H4" s="70">
        <v>99.95</v>
      </c>
      <c r="I4" s="66" t="s">
        <v>180</v>
      </c>
      <c r="M4" s="45"/>
      <c r="R4" s="44"/>
      <c r="W4" s="45"/>
      <c r="AB4" s="44"/>
      <c r="AG4" s="45"/>
      <c r="AL4" s="44"/>
    </row>
    <row r="5" spans="1:38" ht="14.4" x14ac:dyDescent="0.3">
      <c r="A5" s="66" t="s">
        <v>138</v>
      </c>
      <c r="B5" s="67" t="s">
        <v>12</v>
      </c>
      <c r="C5" s="68">
        <v>198</v>
      </c>
      <c r="D5" s="68">
        <v>197.95</v>
      </c>
      <c r="E5" s="66">
        <v>0</v>
      </c>
      <c r="F5" s="69">
        <v>0.05</v>
      </c>
      <c r="G5" s="4">
        <v>99.974699999999999</v>
      </c>
      <c r="H5" s="70">
        <v>99.95</v>
      </c>
      <c r="I5" s="66" t="s">
        <v>180</v>
      </c>
      <c r="M5" s="45"/>
      <c r="R5" s="44"/>
      <c r="W5" s="45"/>
      <c r="AB5" s="44"/>
      <c r="AG5" s="45"/>
      <c r="AL5" s="44"/>
    </row>
    <row r="6" spans="1:38" ht="14.4" x14ac:dyDescent="0.3">
      <c r="A6" s="66" t="s">
        <v>242</v>
      </c>
      <c r="B6" s="67" t="s">
        <v>14</v>
      </c>
      <c r="C6" s="68">
        <v>189</v>
      </c>
      <c r="D6" s="68">
        <v>189</v>
      </c>
      <c r="E6" s="66">
        <v>0</v>
      </c>
      <c r="F6" s="69">
        <v>0</v>
      </c>
      <c r="G6" s="4">
        <v>100</v>
      </c>
      <c r="H6" s="70">
        <v>99.95</v>
      </c>
      <c r="I6" s="66" t="s">
        <v>180</v>
      </c>
      <c r="M6" s="45"/>
      <c r="R6" s="44"/>
      <c r="W6" s="45"/>
      <c r="AB6" s="44"/>
      <c r="AG6" s="45"/>
      <c r="AL6" s="44"/>
    </row>
    <row r="7" spans="1:38" ht="26.4" x14ac:dyDescent="0.3">
      <c r="A7" s="66" t="s">
        <v>242</v>
      </c>
      <c r="B7" s="67" t="s">
        <v>13</v>
      </c>
      <c r="C7" s="68">
        <v>189</v>
      </c>
      <c r="D7" s="68">
        <v>189</v>
      </c>
      <c r="E7" s="66">
        <v>0</v>
      </c>
      <c r="F7" s="69">
        <v>0</v>
      </c>
      <c r="G7" s="4">
        <v>100</v>
      </c>
      <c r="H7" s="70">
        <v>99.95</v>
      </c>
      <c r="I7" s="66" t="s">
        <v>180</v>
      </c>
      <c r="M7" s="45"/>
      <c r="R7" s="44"/>
      <c r="W7" s="45"/>
      <c r="AB7" s="44"/>
      <c r="AG7" s="45"/>
      <c r="AL7" s="44"/>
    </row>
    <row r="8" spans="1:38" ht="14.4" x14ac:dyDescent="0.3">
      <c r="A8" s="66" t="s">
        <v>242</v>
      </c>
      <c r="B8" s="67" t="s">
        <v>11</v>
      </c>
      <c r="C8" s="68">
        <v>558</v>
      </c>
      <c r="D8" s="68">
        <v>558</v>
      </c>
      <c r="E8" s="66">
        <v>0</v>
      </c>
      <c r="F8" s="69">
        <v>0</v>
      </c>
      <c r="G8" s="4">
        <v>100</v>
      </c>
      <c r="H8" s="70">
        <v>99.95</v>
      </c>
      <c r="I8" s="66" t="s">
        <v>180</v>
      </c>
      <c r="M8" s="45"/>
      <c r="R8" s="44"/>
      <c r="W8" s="45"/>
      <c r="AB8" s="44"/>
      <c r="AG8" s="45"/>
      <c r="AL8" s="44"/>
    </row>
    <row r="9" spans="1:38" ht="14.4" x14ac:dyDescent="0.3">
      <c r="A9" s="72" t="s">
        <v>242</v>
      </c>
      <c r="B9" s="73" t="s">
        <v>12</v>
      </c>
      <c r="C9" s="74">
        <v>189</v>
      </c>
      <c r="D9" s="74">
        <v>189</v>
      </c>
      <c r="E9" s="72">
        <v>0</v>
      </c>
      <c r="F9" s="75">
        <v>0</v>
      </c>
      <c r="G9" s="76">
        <v>100</v>
      </c>
      <c r="H9" s="77">
        <v>99.95</v>
      </c>
      <c r="I9" s="72" t="s">
        <v>180</v>
      </c>
      <c r="M9" s="45"/>
      <c r="R9" s="44"/>
      <c r="W9" s="45"/>
      <c r="AB9" s="44"/>
      <c r="AG9" s="45"/>
      <c r="AL9" s="44"/>
    </row>
    <row r="10" spans="1:38" ht="14.25" customHeight="1" x14ac:dyDescent="0.25">
      <c r="A10" s="43"/>
      <c r="F10" s="44"/>
      <c r="M10" s="45"/>
      <c r="R10" s="44"/>
      <c r="W10" s="45"/>
      <c r="AB10" s="44"/>
      <c r="AG10" s="45"/>
      <c r="AL10" s="44"/>
    </row>
    <row r="11" spans="1:38" ht="14.25" customHeight="1" x14ac:dyDescent="0.25">
      <c r="B11" s="45"/>
      <c r="M11" s="45"/>
      <c r="R11" s="44"/>
      <c r="W11" s="45"/>
      <c r="AB11" s="44"/>
      <c r="AG11" s="45"/>
      <c r="AL11" s="44"/>
    </row>
    <row r="12" spans="1:38" ht="14.25" customHeight="1" x14ac:dyDescent="0.25">
      <c r="B12" s="45"/>
      <c r="M12" s="45"/>
      <c r="R12" s="44"/>
      <c r="W12" s="45"/>
      <c r="AB12" s="44"/>
      <c r="AG12" s="45"/>
      <c r="AL12" s="44"/>
    </row>
    <row r="13" spans="1:38" ht="14.25" customHeight="1" x14ac:dyDescent="0.25">
      <c r="B13" s="45"/>
      <c r="M13" s="45"/>
      <c r="R13" s="44"/>
      <c r="W13" s="45"/>
      <c r="AB13" s="44"/>
      <c r="AG13" s="45"/>
      <c r="AL13" s="44"/>
    </row>
    <row r="14" spans="1:38" ht="14.25" customHeight="1" x14ac:dyDescent="0.25">
      <c r="B14" s="45"/>
      <c r="M14" s="45"/>
      <c r="R14" s="44"/>
      <c r="W14" s="45"/>
      <c r="AB14" s="44"/>
      <c r="AG14" s="45"/>
      <c r="AL14" s="44"/>
    </row>
    <row r="15" spans="1:38" ht="14.25" customHeight="1" x14ac:dyDescent="0.25">
      <c r="B15" s="45"/>
      <c r="M15" s="45"/>
      <c r="R15" s="44"/>
      <c r="W15" s="45"/>
      <c r="AB15" s="44"/>
      <c r="AG15" s="45"/>
      <c r="AL15" s="44"/>
    </row>
    <row r="16" spans="1:38" ht="14.25" customHeight="1" x14ac:dyDescent="0.25">
      <c r="B16" s="45"/>
      <c r="R16" s="44"/>
      <c r="AB16" s="44"/>
      <c r="AL16" s="44"/>
    </row>
    <row r="17" spans="2:38" ht="14.25" customHeight="1" x14ac:dyDescent="0.25">
      <c r="B17" s="45"/>
      <c r="R17" s="44"/>
      <c r="AB17" s="44"/>
      <c r="AL17" s="44"/>
    </row>
    <row r="18" spans="2:38" ht="14.25" customHeight="1" x14ac:dyDescent="0.25">
      <c r="B18" s="45"/>
      <c r="R18" s="44"/>
      <c r="AB18" s="44"/>
      <c r="AL18" s="44"/>
    </row>
    <row r="19" spans="2:38" ht="14.25" customHeight="1" x14ac:dyDescent="0.25">
      <c r="B19" s="45"/>
      <c r="R19" s="44"/>
      <c r="AB19" s="44"/>
      <c r="AL19" s="44"/>
    </row>
    <row r="20" spans="2:38" ht="14.25" customHeight="1" x14ac:dyDescent="0.25">
      <c r="B20" s="45"/>
      <c r="R20" s="44"/>
      <c r="AB20" s="44"/>
      <c r="AL20" s="44"/>
    </row>
    <row r="21" spans="2:38" ht="14.25" customHeight="1" x14ac:dyDescent="0.25">
      <c r="B21" s="45"/>
    </row>
    <row r="22" spans="2:38" ht="14.25" customHeight="1" x14ac:dyDescent="0.25">
      <c r="B22" s="45"/>
      <c r="R22" s="44"/>
      <c r="AB22" s="44"/>
      <c r="AL22" s="44"/>
    </row>
    <row r="23" spans="2:38" x14ac:dyDescent="0.25">
      <c r="B23" s="45"/>
    </row>
    <row r="24" spans="2:38" x14ac:dyDescent="0.25">
      <c r="B24" s="45"/>
    </row>
    <row r="25" spans="2:38" x14ac:dyDescent="0.25">
      <c r="B25" s="45"/>
    </row>
    <row r="26" spans="2:38" x14ac:dyDescent="0.25">
      <c r="B26" s="45"/>
    </row>
    <row r="27" spans="2:38" x14ac:dyDescent="0.25">
      <c r="B27" s="45"/>
    </row>
  </sheetData>
  <pageMargins left="0.75" right="0.75" top="1" bottom="1" header="0.511811023622047" footer="0.511811023622047"/>
  <pageSetup orientation="portrait" horizontalDpi="300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showGridLines="0" zoomScale="79" zoomScaleNormal="79" workbookViewId="0">
      <pane ySplit="1" topLeftCell="A2" activePane="bottomLeft" state="frozen"/>
      <selection pane="bottomLeft" activeCell="C4" sqref="C4"/>
    </sheetView>
  </sheetViews>
  <sheetFormatPr defaultColWidth="8.6640625" defaultRowHeight="14.4" x14ac:dyDescent="0.3"/>
  <cols>
    <col min="1" max="1" width="13.6640625" style="46" bestFit="1" customWidth="1"/>
    <col min="2" max="2" width="27.21875" style="41" bestFit="1" customWidth="1"/>
    <col min="3" max="3" width="80.88671875" style="41" bestFit="1" customWidth="1"/>
    <col min="4" max="5" width="13.6640625" style="47" bestFit="1" customWidth="1"/>
    <col min="6" max="6" width="16" style="42" bestFit="1" customWidth="1"/>
    <col min="7" max="7" width="8.21875" style="41" bestFit="1" customWidth="1"/>
    <col min="8" max="8" width="18.6640625" style="41" bestFit="1" customWidth="1"/>
    <col min="9" max="9" width="21.21875" style="41" bestFit="1" customWidth="1"/>
    <col min="10" max="10" width="10.33203125" style="41" bestFit="1" customWidth="1"/>
    <col min="11" max="11" width="11.77734375" style="41" bestFit="1" customWidth="1"/>
  </cols>
  <sheetData>
    <row r="1" spans="1:11" x14ac:dyDescent="0.3">
      <c r="A1" t="s">
        <v>61</v>
      </c>
      <c r="B1" t="s">
        <v>139</v>
      </c>
      <c r="C1" t="s">
        <v>140</v>
      </c>
      <c r="D1" t="s">
        <v>62</v>
      </c>
      <c r="E1" t="s">
        <v>63</v>
      </c>
      <c r="F1" t="s">
        <v>64</v>
      </c>
      <c r="G1" t="s">
        <v>141</v>
      </c>
      <c r="H1" t="s">
        <v>142</v>
      </c>
      <c r="I1" t="s">
        <v>143</v>
      </c>
      <c r="J1" t="s">
        <v>3</v>
      </c>
      <c r="K1" t="s">
        <v>7</v>
      </c>
    </row>
    <row r="2" spans="1:11" x14ac:dyDescent="0.3">
      <c r="A2" s="39">
        <v>46218</v>
      </c>
      <c r="B2" t="s">
        <v>228</v>
      </c>
      <c r="C2" t="s">
        <v>243</v>
      </c>
      <c r="D2" s="39">
        <v>0.77656250000000004</v>
      </c>
      <c r="E2" s="39">
        <v>0.78627314814814819</v>
      </c>
      <c r="F2">
        <v>0</v>
      </c>
      <c r="G2" t="s">
        <v>5</v>
      </c>
      <c r="H2" t="s">
        <v>244</v>
      </c>
      <c r="I2" t="s">
        <v>245</v>
      </c>
      <c r="J2" t="s">
        <v>80</v>
      </c>
      <c r="K2" t="s">
        <v>11</v>
      </c>
    </row>
    <row r="3" spans="1:11" x14ac:dyDescent="0.3">
      <c r="A3" s="39">
        <v>46218</v>
      </c>
      <c r="B3" t="s">
        <v>232</v>
      </c>
      <c r="C3" t="s">
        <v>246</v>
      </c>
      <c r="D3" s="39">
        <v>0.77552083333333333</v>
      </c>
      <c r="E3" s="39">
        <v>0.78672453703703704</v>
      </c>
      <c r="F3">
        <v>0</v>
      </c>
      <c r="G3" t="s">
        <v>5</v>
      </c>
      <c r="H3" t="s">
        <v>244</v>
      </c>
      <c r="I3" t="s">
        <v>245</v>
      </c>
      <c r="J3" t="s">
        <v>80</v>
      </c>
      <c r="K3" t="s">
        <v>11</v>
      </c>
    </row>
    <row r="4" spans="1:11" x14ac:dyDescent="0.3">
      <c r="A4" s="39">
        <v>46233</v>
      </c>
      <c r="B4" t="s">
        <v>208</v>
      </c>
      <c r="C4" t="s">
        <v>247</v>
      </c>
      <c r="D4" s="39">
        <v>0.65918981481481487</v>
      </c>
      <c r="E4" s="39">
        <v>0.66052083333333333</v>
      </c>
      <c r="F4">
        <v>3.1899999999999998E-2</v>
      </c>
      <c r="G4" t="s">
        <v>5</v>
      </c>
      <c r="H4" t="s">
        <v>244</v>
      </c>
      <c r="I4" t="s">
        <v>248</v>
      </c>
      <c r="J4" t="s">
        <v>80</v>
      </c>
      <c r="K4" t="s">
        <v>11</v>
      </c>
    </row>
    <row r="5" spans="1:11" x14ac:dyDescent="0.3">
      <c r="A5" s="39">
        <v>46233</v>
      </c>
      <c r="B5" t="s">
        <v>209</v>
      </c>
      <c r="C5" t="s">
        <v>243</v>
      </c>
      <c r="D5" s="39">
        <v>0.65835648148148151</v>
      </c>
      <c r="E5" s="39">
        <v>0.65918981481481487</v>
      </c>
      <c r="F5">
        <v>0.02</v>
      </c>
      <c r="G5" t="s">
        <v>5</v>
      </c>
      <c r="H5" t="s">
        <v>244</v>
      </c>
      <c r="I5" t="s">
        <v>248</v>
      </c>
      <c r="J5" t="s">
        <v>80</v>
      </c>
      <c r="K5" t="s">
        <v>11</v>
      </c>
    </row>
    <row r="6" spans="1:11" x14ac:dyDescent="0.3">
      <c r="A6" s="39">
        <v>46233</v>
      </c>
      <c r="B6" t="s">
        <v>210</v>
      </c>
      <c r="C6" t="s">
        <v>247</v>
      </c>
      <c r="D6" s="39">
        <v>0.65733796296296299</v>
      </c>
      <c r="E6" s="39">
        <v>0.65835648148148151</v>
      </c>
      <c r="F6">
        <v>2.4400000000000002E-2</v>
      </c>
      <c r="G6" t="s">
        <v>5</v>
      </c>
      <c r="H6" t="s">
        <v>244</v>
      </c>
      <c r="I6" t="s">
        <v>248</v>
      </c>
      <c r="J6" t="s">
        <v>80</v>
      </c>
      <c r="K6" t="s">
        <v>11</v>
      </c>
    </row>
    <row r="7" spans="1:11" x14ac:dyDescent="0.3">
      <c r="A7" s="39">
        <v>46233</v>
      </c>
      <c r="B7" t="s">
        <v>211</v>
      </c>
      <c r="C7" t="s">
        <v>246</v>
      </c>
      <c r="D7" s="39">
        <v>0.65660879629629632</v>
      </c>
      <c r="E7" s="39">
        <v>0.65695601851851848</v>
      </c>
      <c r="F7">
        <v>8.3000000000000001E-3</v>
      </c>
      <c r="G7" t="s">
        <v>5</v>
      </c>
      <c r="H7" t="s">
        <v>244</v>
      </c>
      <c r="I7" t="s">
        <v>248</v>
      </c>
      <c r="J7" t="s">
        <v>80</v>
      </c>
      <c r="K7" t="s">
        <v>11</v>
      </c>
    </row>
    <row r="8" spans="1:11" ht="23.25" customHeight="1" x14ac:dyDescent="0.3">
      <c r="A8"/>
      <c r="B8"/>
      <c r="C8"/>
      <c r="D8"/>
      <c r="E8"/>
      <c r="F8"/>
      <c r="G8"/>
      <c r="H8"/>
      <c r="I8"/>
      <c r="J8"/>
      <c r="K8"/>
    </row>
    <row r="9" spans="1:11" ht="23.25" customHeight="1" x14ac:dyDescent="0.3">
      <c r="A9"/>
      <c r="B9"/>
      <c r="C9"/>
      <c r="D9"/>
      <c r="E9"/>
      <c r="F9"/>
      <c r="G9"/>
      <c r="H9"/>
      <c r="I9"/>
      <c r="J9"/>
      <c r="K9"/>
    </row>
    <row r="10" spans="1:11" ht="23.25" customHeight="1" x14ac:dyDescent="0.3"/>
    <row r="11" spans="1:11" ht="23.25" customHeight="1" x14ac:dyDescent="0.3"/>
    <row r="12" spans="1:11" ht="23.25" customHeight="1" x14ac:dyDescent="0.3"/>
    <row r="13" spans="1:11" ht="23.25" customHeight="1" x14ac:dyDescent="0.3"/>
    <row r="14" spans="1:11" ht="23.25" customHeight="1" x14ac:dyDescent="0.3"/>
    <row r="15" spans="1:11" ht="23.25" customHeight="1" x14ac:dyDescent="0.3"/>
    <row r="16" spans="1:11" ht="23.25" customHeight="1" x14ac:dyDescent="0.3"/>
    <row r="17" ht="23.25" customHeight="1" x14ac:dyDescent="0.3"/>
    <row r="18" ht="23.25" customHeight="1" x14ac:dyDescent="0.3"/>
    <row r="19" ht="23.25" customHeight="1" x14ac:dyDescent="0.3"/>
    <row r="20" ht="23.25" customHeight="1" x14ac:dyDescent="0.3"/>
    <row r="21" ht="23.25" customHeight="1" x14ac:dyDescent="0.3"/>
    <row r="22" ht="23.25" customHeight="1" x14ac:dyDescent="0.3"/>
    <row r="23" ht="23.25" customHeight="1" x14ac:dyDescent="0.3"/>
    <row r="24" ht="23.25" customHeight="1" x14ac:dyDescent="0.3"/>
    <row r="25" ht="23.25" customHeight="1" x14ac:dyDescent="0.3"/>
    <row r="26" ht="23.25" customHeight="1" x14ac:dyDescent="0.3"/>
    <row r="27" ht="23.25" customHeight="1" x14ac:dyDescent="0.3"/>
    <row r="28" ht="23.25" customHeight="1" x14ac:dyDescent="0.3"/>
    <row r="29" ht="23.25" customHeight="1" x14ac:dyDescent="0.3"/>
    <row r="30" ht="23.25" customHeight="1" x14ac:dyDescent="0.3"/>
    <row r="31" ht="23.25" customHeight="1" x14ac:dyDescent="0.3"/>
    <row r="32" ht="23.25" customHeight="1" x14ac:dyDescent="0.3"/>
    <row r="33" ht="23.25" customHeight="1" x14ac:dyDescent="0.3"/>
    <row r="34" ht="23.25" customHeight="1" x14ac:dyDescent="0.3"/>
    <row r="35" ht="23.25" customHeight="1" x14ac:dyDescent="0.3"/>
    <row r="36" ht="23.25" customHeight="1" x14ac:dyDescent="0.3"/>
    <row r="37" ht="23.25" customHeight="1" x14ac:dyDescent="0.3"/>
    <row r="38" ht="23.25" customHeight="1" x14ac:dyDescent="0.3"/>
    <row r="39" ht="23.25" customHeight="1" x14ac:dyDescent="0.3"/>
    <row r="40" ht="23.25" customHeight="1" x14ac:dyDescent="0.3"/>
    <row r="41" ht="23.25" customHeight="1" x14ac:dyDescent="0.3"/>
    <row r="42" ht="23.25" customHeight="1" x14ac:dyDescent="0.3"/>
    <row r="43" ht="23.25" customHeight="1" x14ac:dyDescent="0.3"/>
    <row r="44" ht="23.25" customHeight="1" x14ac:dyDescent="0.3"/>
    <row r="45" ht="23.25" customHeight="1" x14ac:dyDescent="0.3"/>
    <row r="46" ht="23.25" customHeight="1" x14ac:dyDescent="0.3"/>
    <row r="47" ht="23.25" customHeight="1" x14ac:dyDescent="0.3"/>
    <row r="48" ht="23.25" customHeight="1" x14ac:dyDescent="0.3"/>
    <row r="49" ht="23.25" customHeight="1" x14ac:dyDescent="0.3"/>
    <row r="50" ht="23.25" customHeight="1" x14ac:dyDescent="0.3"/>
    <row r="51" ht="23.25" customHeight="1" x14ac:dyDescent="0.3"/>
    <row r="52" ht="23.25" customHeight="1" x14ac:dyDescent="0.3"/>
    <row r="53" ht="23.25" customHeight="1" x14ac:dyDescent="0.3"/>
    <row r="54" ht="23.25" customHeight="1" x14ac:dyDescent="0.3"/>
    <row r="55" ht="23.25" customHeight="1" x14ac:dyDescent="0.3"/>
    <row r="56" ht="23.25" customHeight="1" x14ac:dyDescent="0.3"/>
    <row r="57" ht="23.25" customHeight="1" x14ac:dyDescent="0.3"/>
    <row r="58" ht="23.25" customHeight="1" x14ac:dyDescent="0.3"/>
    <row r="59" ht="23.25" customHeight="1" x14ac:dyDescent="0.3"/>
    <row r="60" ht="23.25" customHeight="1" x14ac:dyDescent="0.3"/>
    <row r="61" ht="23.25" customHeight="1" x14ac:dyDescent="0.3"/>
    <row r="62" ht="23.25" customHeight="1" x14ac:dyDescent="0.3"/>
    <row r="63" ht="23.25" customHeight="1" x14ac:dyDescent="0.3"/>
    <row r="64" ht="23.25" customHeight="1" x14ac:dyDescent="0.3"/>
    <row r="65" ht="23.25" customHeight="1" x14ac:dyDescent="0.3"/>
    <row r="66" ht="23.25" customHeight="1" x14ac:dyDescent="0.3"/>
    <row r="67" ht="23.25" customHeight="1" x14ac:dyDescent="0.3"/>
    <row r="68" ht="23.25" customHeight="1" x14ac:dyDescent="0.3"/>
    <row r="69" ht="23.25" customHeight="1" x14ac:dyDescent="0.3"/>
    <row r="70" ht="23.25" customHeight="1" x14ac:dyDescent="0.3"/>
    <row r="71" ht="23.25" customHeight="1" x14ac:dyDescent="0.3"/>
    <row r="72" ht="23.25" customHeight="1" x14ac:dyDescent="0.3"/>
    <row r="73" ht="23.25" customHeight="1" x14ac:dyDescent="0.3"/>
    <row r="74" ht="23.25" customHeight="1" x14ac:dyDescent="0.3"/>
    <row r="75" ht="23.25" customHeight="1" x14ac:dyDescent="0.3"/>
    <row r="76" ht="23.25" customHeight="1" x14ac:dyDescent="0.3"/>
    <row r="77" ht="23.25" customHeight="1" x14ac:dyDescent="0.3"/>
    <row r="78" ht="23.25" customHeight="1" x14ac:dyDescent="0.3"/>
    <row r="79" ht="23.25" customHeight="1" x14ac:dyDescent="0.3"/>
    <row r="80" ht="23.25" customHeight="1" x14ac:dyDescent="0.3"/>
    <row r="81" ht="23.25" customHeight="1" x14ac:dyDescent="0.3"/>
    <row r="82" ht="23.25" customHeight="1" x14ac:dyDescent="0.3"/>
    <row r="83" ht="23.25" customHeight="1" x14ac:dyDescent="0.3"/>
    <row r="84" ht="23.25" customHeight="1" x14ac:dyDescent="0.3"/>
    <row r="85" ht="23.25" customHeight="1" x14ac:dyDescent="0.3"/>
    <row r="86" ht="23.25" customHeight="1" x14ac:dyDescent="0.3"/>
    <row r="87" ht="23.25" customHeight="1" x14ac:dyDescent="0.3"/>
    <row r="88" ht="23.25" customHeight="1" x14ac:dyDescent="0.3"/>
    <row r="89" ht="23.25" customHeight="1" x14ac:dyDescent="0.3"/>
    <row r="90" ht="23.25" customHeight="1" x14ac:dyDescent="0.3"/>
    <row r="91" ht="23.25" customHeight="1" x14ac:dyDescent="0.3"/>
    <row r="92" ht="23.25" customHeight="1" x14ac:dyDescent="0.3"/>
    <row r="93" ht="23.25" customHeight="1" x14ac:dyDescent="0.3"/>
    <row r="94" ht="23.25" customHeight="1" x14ac:dyDescent="0.3"/>
    <row r="95" ht="23.25" customHeight="1" x14ac:dyDescent="0.3"/>
    <row r="96" ht="23.25" customHeight="1" x14ac:dyDescent="0.3"/>
    <row r="97" ht="23.25" customHeight="1" x14ac:dyDescent="0.3"/>
    <row r="98" ht="23.25" customHeight="1" x14ac:dyDescent="0.3"/>
    <row r="99" ht="23.25" customHeight="1" x14ac:dyDescent="0.3"/>
    <row r="100" ht="23.25" customHeight="1" x14ac:dyDescent="0.3"/>
  </sheetData>
  <conditionalFormatting sqref="A10:J105">
    <cfRule type="expression" dxfId="3" priority="6">
      <formula>$G10="High"</formula>
    </cfRule>
    <cfRule type="expression" dxfId="2" priority="7">
      <formula>$J10="No"</formula>
    </cfRule>
  </conditionalFormatting>
  <dataValidations count="3">
    <dataValidation type="list" allowBlank="1" sqref="G10:G105" xr:uid="{00000000-0002-0000-0700-000000000000}">
      <formula1>"High,Medium,Low"</formula1>
      <formula2>0</formula2>
    </dataValidation>
    <dataValidation type="list" allowBlank="1" sqref="J10:J105" xr:uid="{00000000-0002-0000-0700-000001000000}">
      <formula1>"Yes,No,Partial"</formula1>
      <formula2>0</formula2>
    </dataValidation>
    <dataValidation type="list" allowBlank="1" sqref="K10:K105" xr:uid="{00000000-0002-0000-0700-000002000000}">
      <formula1>"Oracle,MySQL,MS SQL Server,PostgreSQL"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showGridLines="0" zoomScaleNormal="100" workbookViewId="0">
      <pane ySplit="1" topLeftCell="A2" activePane="bottomLeft" state="frozen"/>
      <selection pane="bottomLeft" activeCell="E3" sqref="E3"/>
    </sheetView>
  </sheetViews>
  <sheetFormatPr defaultColWidth="8.6640625" defaultRowHeight="14.4" x14ac:dyDescent="0.3"/>
  <cols>
    <col min="1" max="1" width="13.33203125" bestFit="1" customWidth="1"/>
    <col min="2" max="2" width="18.88671875" bestFit="1" customWidth="1"/>
    <col min="3" max="3" width="13.21875" bestFit="1" customWidth="1"/>
    <col min="4" max="4" width="19.21875" bestFit="1" customWidth="1"/>
    <col min="5" max="5" width="15" bestFit="1" customWidth="1"/>
    <col min="6" max="6" width="22.5546875" bestFit="1" customWidth="1"/>
    <col min="7" max="7" width="13.5546875" bestFit="1" customWidth="1"/>
    <col min="8" max="8" width="12.6640625" bestFit="1" customWidth="1"/>
  </cols>
  <sheetData>
    <row r="1" spans="1:8" x14ac:dyDescent="0.3">
      <c r="A1" t="s">
        <v>134</v>
      </c>
      <c r="B1" t="s">
        <v>144</v>
      </c>
      <c r="C1" t="s">
        <v>145</v>
      </c>
      <c r="D1" t="s">
        <v>146</v>
      </c>
      <c r="E1" t="s">
        <v>215</v>
      </c>
      <c r="F1" t="s">
        <v>147</v>
      </c>
      <c r="G1" t="s">
        <v>148</v>
      </c>
      <c r="H1" t="s">
        <v>7</v>
      </c>
    </row>
    <row r="2" spans="1:8" x14ac:dyDescent="0.3">
      <c r="A2" t="s">
        <v>138</v>
      </c>
      <c r="B2">
        <v>39.86</v>
      </c>
      <c r="C2">
        <v>20</v>
      </c>
      <c r="D2" t="s">
        <v>216</v>
      </c>
      <c r="E2">
        <v>0</v>
      </c>
      <c r="F2" t="s">
        <v>149</v>
      </c>
      <c r="G2">
        <v>0</v>
      </c>
      <c r="H2" t="s">
        <v>12</v>
      </c>
    </row>
    <row r="3" spans="1:8" x14ac:dyDescent="0.3">
      <c r="A3" t="s">
        <v>138</v>
      </c>
      <c r="B3">
        <v>1.51</v>
      </c>
      <c r="C3">
        <v>21.55</v>
      </c>
      <c r="D3" t="s">
        <v>174</v>
      </c>
      <c r="E3">
        <v>114.5</v>
      </c>
      <c r="F3" t="s">
        <v>217</v>
      </c>
      <c r="G3">
        <v>0</v>
      </c>
      <c r="H3" t="s">
        <v>13</v>
      </c>
    </row>
    <row r="4" spans="1:8" x14ac:dyDescent="0.3">
      <c r="A4" t="s">
        <v>138</v>
      </c>
      <c r="B4">
        <v>110.43</v>
      </c>
      <c r="C4">
        <v>20</v>
      </c>
      <c r="D4" t="s">
        <v>218</v>
      </c>
      <c r="E4">
        <v>68.64</v>
      </c>
      <c r="F4" t="s">
        <v>219</v>
      </c>
      <c r="G4">
        <v>0</v>
      </c>
      <c r="H4" t="s">
        <v>11</v>
      </c>
    </row>
    <row r="5" spans="1:8" x14ac:dyDescent="0.3">
      <c r="A5" t="s">
        <v>138</v>
      </c>
      <c r="B5">
        <v>110.43</v>
      </c>
      <c r="C5">
        <v>20</v>
      </c>
      <c r="D5" t="s">
        <v>220</v>
      </c>
      <c r="E5">
        <v>69.34</v>
      </c>
      <c r="F5" t="s">
        <v>219</v>
      </c>
      <c r="G5">
        <v>0</v>
      </c>
      <c r="H5" t="s">
        <v>11</v>
      </c>
    </row>
    <row r="6" spans="1:8" x14ac:dyDescent="0.3">
      <c r="A6" t="s">
        <v>242</v>
      </c>
      <c r="B6">
        <v>110.43</v>
      </c>
      <c r="C6">
        <v>20</v>
      </c>
      <c r="D6" t="s">
        <v>249</v>
      </c>
      <c r="E6">
        <v>69.19</v>
      </c>
      <c r="F6" t="s">
        <v>219</v>
      </c>
      <c r="G6">
        <v>0</v>
      </c>
      <c r="H6" t="s">
        <v>11</v>
      </c>
    </row>
    <row r="7" spans="1:8" x14ac:dyDescent="0.3">
      <c r="A7" t="s">
        <v>242</v>
      </c>
      <c r="B7">
        <v>40.6</v>
      </c>
      <c r="C7">
        <v>20</v>
      </c>
      <c r="D7" t="s">
        <v>216</v>
      </c>
      <c r="E7">
        <v>0</v>
      </c>
      <c r="F7" t="s">
        <v>149</v>
      </c>
      <c r="G7">
        <v>0.74</v>
      </c>
      <c r="H7" t="s">
        <v>12</v>
      </c>
    </row>
    <row r="8" spans="1:8" x14ac:dyDescent="0.3">
      <c r="A8" t="s">
        <v>242</v>
      </c>
      <c r="B8">
        <v>1.51</v>
      </c>
      <c r="C8">
        <v>21.57</v>
      </c>
      <c r="D8" t="s">
        <v>174</v>
      </c>
      <c r="E8">
        <v>114.47</v>
      </c>
      <c r="F8" t="s">
        <v>217</v>
      </c>
      <c r="G8">
        <v>0</v>
      </c>
      <c r="H8" t="s">
        <v>13</v>
      </c>
    </row>
    <row r="9" spans="1:8" x14ac:dyDescent="0.3">
      <c r="A9" t="s">
        <v>242</v>
      </c>
      <c r="B9">
        <v>110.43</v>
      </c>
      <c r="C9">
        <v>20</v>
      </c>
      <c r="D9" t="s">
        <v>250</v>
      </c>
      <c r="E9">
        <v>69.290000000000006</v>
      </c>
      <c r="F9" t="s">
        <v>219</v>
      </c>
      <c r="G9">
        <v>0</v>
      </c>
      <c r="H9" t="s">
        <v>11</v>
      </c>
    </row>
    <row r="10" spans="1:8" x14ac:dyDescent="0.3">
      <c r="A10" t="s">
        <v>242</v>
      </c>
      <c r="B10">
        <v>110.43</v>
      </c>
      <c r="C10">
        <v>20</v>
      </c>
      <c r="D10" t="s">
        <v>253</v>
      </c>
      <c r="E10">
        <v>69.42</v>
      </c>
      <c r="F10" t="s">
        <v>219</v>
      </c>
      <c r="G10">
        <v>99.76</v>
      </c>
      <c r="H10" t="s">
        <v>11</v>
      </c>
    </row>
    <row r="11" spans="1:8" ht="18" customHeight="1" x14ac:dyDescent="0.3"/>
    <row r="12" spans="1:8" ht="18" customHeight="1" x14ac:dyDescent="0.3"/>
    <row r="13" spans="1:8" ht="18" customHeight="1" x14ac:dyDescent="0.3"/>
    <row r="14" spans="1:8" ht="18" customHeight="1" x14ac:dyDescent="0.3"/>
    <row r="15" spans="1:8" ht="18" customHeight="1" x14ac:dyDescent="0.3"/>
    <row r="16" spans="1:8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</sheetData>
  <conditionalFormatting sqref="C11:C102">
    <cfRule type="cellIs" dxfId="1" priority="4" operator="greaterThan">
      <formula>85</formula>
    </cfRule>
  </conditionalFormatting>
  <conditionalFormatting sqref="D11:D102">
    <cfRule type="cellIs" dxfId="0" priority="5" operator="greaterThan">
      <formula>90</formula>
    </cfRule>
  </conditionalFormatting>
  <dataValidations count="1">
    <dataValidation type="list" allowBlank="1" sqref="G11:H102" xr:uid="{00000000-0002-0000-0800-000000000000}">
      <formula1>"Oracle,MySQL,MS SQL Server,PostgreSQL"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71F917-CB6C-47FE-8B73-086B565E69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Charts</vt:lpstr>
      <vt:lpstr>Dashboard</vt:lpstr>
      <vt:lpstr>Incident Register</vt:lpstr>
      <vt:lpstr>Replication Monitor</vt:lpstr>
      <vt:lpstr>Backup &amp; Recovery</vt:lpstr>
      <vt:lpstr>Server Health</vt:lpstr>
      <vt:lpstr>Availability Calculator</vt:lpstr>
      <vt:lpstr>Maintenance Register</vt:lpstr>
      <vt:lpstr>Capacity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Ashley Atim</cp:lastModifiedBy>
  <cp:revision>32</cp:revision>
  <cp:lastPrinted>2026-07-18T17:06:51Z</cp:lastPrinted>
  <dcterms:created xsi:type="dcterms:W3CDTF">2026-07-12T17:49:37Z</dcterms:created>
  <dcterms:modified xsi:type="dcterms:W3CDTF">2026-08-03T05:57:16Z</dcterms:modified>
  <dc:language>en-US</dc:language>
</cp:coreProperties>
</file>