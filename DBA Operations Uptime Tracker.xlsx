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ba\CascadeProjects\windsurf-project\"/>
    </mc:Choice>
  </mc:AlternateContent>
  <xr:revisionPtr revIDLastSave="0" documentId="13_ncr:1_{BE8DBA25-E92F-462D-A64B-0C0568A37A17}" xr6:coauthVersionLast="36" xr6:coauthVersionMax="36" xr10:uidLastSave="{00000000-0000-0000-0000-000000000000}"/>
  <bookViews>
    <workbookView xWindow="0" yWindow="0" windowWidth="15360" windowHeight="4884" tabRatio="500" activeTab="1" xr2:uid="{00000000-000D-0000-FFFF-FFFF00000000}"/>
  </bookViews>
  <sheets>
    <sheet name="Charts" sheetId="1" r:id="rId1"/>
    <sheet name="Dashboard" sheetId="2" r:id="rId2"/>
    <sheet name="Incident Register" sheetId="3" r:id="rId3"/>
    <sheet name="Replication Monitor" sheetId="4" r:id="rId4"/>
    <sheet name="Backup &amp; Recovery" sheetId="5" r:id="rId5"/>
    <sheet name="Server Health" sheetId="6" r:id="rId6"/>
    <sheet name="Availability Calculator" sheetId="7" r:id="rId7"/>
    <sheet name="Maintenance Register" sheetId="8" r:id="rId8"/>
    <sheet name="Capacity Planning" sheetId="9" r:id="rId9"/>
  </sheets>
  <externalReferences>
    <externalReference r:id="rId10"/>
  </externalReferences>
  <definedNames>
    <definedName name="_xlnm._FilterDatabase" localSheetId="4" hidden="1">'Backup &amp; Recovery'!#REF!</definedName>
    <definedName name="_xlnm._FilterDatabase" localSheetId="8" hidden="1">'Capacity Planning'!$A$1:$G$94</definedName>
    <definedName name="_xlnm._FilterDatabase" localSheetId="2" hidden="1">'Incident Register'!$A$1:$M$100</definedName>
    <definedName name="_xlnm._FilterDatabase" localSheetId="7" hidden="1">'Maintenance Register'!$A$1:$K$100</definedName>
    <definedName name="_xlnm._FilterDatabase" localSheetId="3" hidden="1">'Replication Monitor'!$A$32:$I$120</definedName>
    <definedName name="_xlnm._FilterDatabase" localSheetId="5" hidden="1">'Server Health'!$A$1:$K$120</definedName>
    <definedName name="ExternalData_1" localSheetId="6" hidden="1">'Availability Calculator'!$A$1:$I$3</definedName>
    <definedName name="ExternalData_1" localSheetId="4" hidden="1">'Backup &amp; Recovery'!$A$1:$P$25</definedName>
    <definedName name="ExternalData_1" localSheetId="8" hidden="1">'Capacity Planning'!$A$1:$G$2</definedName>
    <definedName name="ExternalData_1" localSheetId="2" hidden="1">'Incident Register'!$A$1:$M$9</definedName>
    <definedName name="ExternalData_1" localSheetId="7" hidden="1">'Maintenance Register'!$A$1:$K$4</definedName>
    <definedName name="ExternalData_1" localSheetId="3" hidden="1">'Replication Monitor'!$A$1:$J$31</definedName>
    <definedName name="ExternalData_1" localSheetId="5" hidden="1">'Server Health'!$A$1:$L$26</definedName>
  </definedNames>
  <calcPr calcId="191029"/>
</workbook>
</file>

<file path=xl/calcChain.xml><?xml version="1.0" encoding="utf-8"?>
<calcChain xmlns="http://schemas.openxmlformats.org/spreadsheetml/2006/main">
  <c r="N17" i="2" l="1"/>
  <c r="M17" i="2"/>
  <c r="L17" i="2"/>
  <c r="K17" i="2"/>
  <c r="J17" i="2"/>
  <c r="H17" i="2"/>
  <c r="G17" i="2"/>
  <c r="C17" i="2"/>
  <c r="J10" i="2"/>
  <c r="H10" i="2"/>
  <c r="G10" i="2"/>
  <c r="C10" i="2"/>
  <c r="J9" i="2"/>
  <c r="H9" i="2"/>
  <c r="G9" i="2"/>
  <c r="C9" i="2"/>
  <c r="J8" i="2"/>
  <c r="H8" i="2"/>
  <c r="G8" i="2"/>
  <c r="C8" i="2"/>
  <c r="J7" i="2"/>
  <c r="H7" i="2"/>
  <c r="G7" i="2"/>
  <c r="C7" i="2"/>
  <c r="E123" i="1"/>
  <c r="E122" i="1"/>
  <c r="E121" i="1"/>
  <c r="E120" i="1"/>
  <c r="E119" i="1"/>
  <c r="C124" i="1"/>
  <c r="C123" i="1"/>
  <c r="C122" i="1"/>
  <c r="C121" i="1"/>
  <c r="B124" i="1"/>
  <c r="B123" i="1"/>
  <c r="B122" i="1"/>
  <c r="B121" i="1"/>
  <c r="C129" i="1"/>
  <c r="D129" i="1"/>
  <c r="E129" i="1"/>
  <c r="F129" i="1"/>
  <c r="G129" i="1"/>
  <c r="H129" i="1"/>
  <c r="I129" i="1"/>
  <c r="J129" i="1"/>
  <c r="K129" i="1"/>
  <c r="L129" i="1"/>
  <c r="M129" i="1"/>
  <c r="B129" i="1"/>
  <c r="C128" i="1"/>
  <c r="D128" i="1"/>
  <c r="E128" i="1"/>
  <c r="F128" i="1"/>
  <c r="G128" i="1"/>
  <c r="H128" i="1"/>
  <c r="I128" i="1"/>
  <c r="J128" i="1"/>
  <c r="K128" i="1"/>
  <c r="L128" i="1"/>
  <c r="M128" i="1"/>
  <c r="B128" i="1"/>
  <c r="D111" i="1"/>
  <c r="D110" i="1"/>
  <c r="D109" i="1"/>
  <c r="C112" i="1"/>
  <c r="C111" i="1"/>
  <c r="C110" i="1"/>
  <c r="C109" i="1"/>
  <c r="E103" i="1"/>
  <c r="E102" i="1"/>
  <c r="E101" i="1"/>
  <c r="B112" i="1"/>
  <c r="B111" i="1"/>
  <c r="B110" i="1"/>
  <c r="B109" i="1"/>
  <c r="B104" i="1"/>
  <c r="B103" i="1"/>
  <c r="B102" i="1"/>
  <c r="B101" i="1"/>
  <c r="I10" i="2"/>
  <c r="I9" i="2"/>
  <c r="I8" i="2"/>
  <c r="I7" i="2"/>
  <c r="F10" i="2"/>
  <c r="F9" i="2"/>
  <c r="F8" i="2"/>
  <c r="F7" i="2"/>
  <c r="D10" i="2"/>
  <c r="D9" i="2"/>
  <c r="D8" i="2"/>
  <c r="D7" i="2"/>
  <c r="F26" i="2"/>
  <c r="E26" i="2"/>
  <c r="D26" i="2"/>
  <c r="C26" i="2"/>
  <c r="O17" i="2"/>
  <c r="O19" i="2" s="1"/>
  <c r="I17" i="2"/>
  <c r="F17" i="2"/>
  <c r="E17" i="2"/>
  <c r="B26" i="2"/>
  <c r="D17" i="2"/>
  <c r="B10" i="2"/>
  <c r="B9" i="2"/>
  <c r="B8" i="2"/>
  <c r="B7" i="2"/>
  <c r="E7" i="2"/>
  <c r="E9" i="2"/>
  <c r="E10" i="2"/>
  <c r="E8" i="2"/>
  <c r="F126" i="1" l="1"/>
  <c r="D112" i="1"/>
  <c r="B2" i="1"/>
  <c r="B29" i="2"/>
  <c r="A26" i="2"/>
  <c r="A23" i="2"/>
  <c r="N19" i="2"/>
  <c r="M19" i="2"/>
  <c r="L19" i="2"/>
  <c r="K19" i="2"/>
  <c r="J19" i="2"/>
  <c r="I19" i="2"/>
  <c r="H19" i="2"/>
  <c r="G19" i="2"/>
  <c r="F19" i="2"/>
  <c r="E19" i="2"/>
  <c r="D19" i="2"/>
  <c r="C19" i="2"/>
  <c r="A14" i="2"/>
  <c r="D2" i="2"/>
  <c r="B17" i="2" l="1"/>
  <c r="B19" i="2" s="1"/>
  <c r="G2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BE34E-61A1-4CA8-9C36-EB0D13A57EC3}" keepAlive="1" name="Query - vw_availability_calculator" description="Connection to the 'vw_availability_calculator' query in the workbook." type="5" refreshedVersion="6" background="1" saveData="1">
    <dbPr connection="Provider=Microsoft.Mashup.OleDb.1;Data Source=$Workbook$;Location=vw_availability_calculator;Extended Properties=&quot;&quot;" command="SELECT * FROM [vw_availability_calculator]"/>
  </connection>
  <connection id="2" xr16:uid="{1CA5330E-0FB7-464D-BEF3-41DB1F7AD29B}" keepAlive="1" name="Query - vw_backup_recovery" description="Connection to the 'vw_backup_recovery' query in the workbook." type="5" refreshedVersion="6" background="1" saveData="1">
    <dbPr connection="Provider=Microsoft.Mashup.OleDb.1;Data Source=$Workbook$;Location=vw_backup_recovery;Extended Properties=&quot;&quot;" command="SELECT * FROM [vw_backup_recovery]"/>
  </connection>
  <connection id="3" xr16:uid="{BACDDEC0-D724-4CD4-90A4-E57FB7EFA2DF}" keepAlive="1" name="Query - vw_backup_recovery (2)" description="Connection to the 'vw_backup_recovery (2)' query in the workbook." type="5" refreshedVersion="6" background="1" saveData="1">
    <dbPr connection="Provider=Microsoft.Mashup.OleDb.1;Data Source=$Workbook$;Location=vw_backup_recovery (2);Extended Properties=&quot;&quot;" command="SELECT * FROM [vw_backup_recovery (2)]"/>
  </connection>
  <connection id="4" xr16:uid="{28E8D406-669C-4824-B3FF-F0727C9B0E7F}" keepAlive="1" name="Query - vw_capacity_planning" description="Connection to the 'vw_capacity_planning' query in the workbook." type="5" refreshedVersion="6" background="1" saveData="1">
    <dbPr connection="Provider=Microsoft.Mashup.OleDb.1;Data Source=$Workbook$;Location=vw_capacity_planning;Extended Properties=&quot;&quot;" command="SELECT * FROM [vw_capacity_planning]"/>
  </connection>
  <connection id="5" xr16:uid="{63039906-D889-419B-B6A1-F9C8FD009C7A}" keepAlive="1" name="Query - vw_incident_register" description="Connection to the 'vw_incident_register' query in the workbook." type="5" refreshedVersion="6" background="1" saveData="1">
    <dbPr connection="Provider=Microsoft.Mashup.OleDb.1;Data Source=$Workbook$;Location=vw_incident_register;Extended Properties=&quot;&quot;" command="SELECT * FROM [vw_incident_register]"/>
  </connection>
  <connection id="6" xr16:uid="{C10AC588-42AD-4002-8873-81B04A771F26}" keepAlive="1" name="Query - vw_maintenance_register" description="Connection to the 'vw_maintenance_register' query in the workbook." type="5" refreshedVersion="6" background="1" saveData="1">
    <dbPr connection="Provider=Microsoft.Mashup.OleDb.1;Data Source=$Workbook$;Location=vw_maintenance_register;Extended Properties=&quot;&quot;" command="SELECT * FROM [vw_maintenance_register]"/>
  </connection>
  <connection id="7" xr16:uid="{D2992CA9-FF28-4F90-A041-7DD6BD7462A9}" keepAlive="1" name="Query - vw_replication_monitor" description="Connection to the 'vw_replication_monitor' query in the workbook." type="5" refreshedVersion="6" background="1" saveData="1">
    <dbPr connection="Provider=Microsoft.Mashup.OleDb.1;Data Source=$Workbook$;Location=vw_replication_monitor;Extended Properties=&quot;&quot;" command="SELECT * FROM [vw_replication_monitor]"/>
  </connection>
  <connection id="8" xr16:uid="{2B775397-04D8-41D1-94C5-DA02444245FE}" keepAlive="1" name="Query - vw_replication_monitor (2)" description="Connection to the 'vw_replication_monitor (2)' query in the workbook." type="5" refreshedVersion="6" background="1" saveData="1">
    <dbPr connection="Provider=Microsoft.Mashup.OleDb.1;Data Source=$Workbook$;Location=vw_replication_monitor (2);Extended Properties=&quot;&quot;" command="SELECT * FROM [vw_replication_monitor (2)]"/>
  </connection>
  <connection id="9" xr16:uid="{6E99F117-75F7-4D11-BE55-91C4D424FF25}" keepAlive="1" name="Query - vw_server_health" description="Connection to the 'vw_server_health' query in the workbook." type="5" refreshedVersion="0" background="1">
    <dbPr connection="Provider=Microsoft.Mashup.OleDb.1;Data Source=$Workbook$;Location=vw_server_health;Extended Properties=&quot;&quot;" command="SELECT * FROM [vw_server_health]"/>
  </connection>
  <connection id="10" xr16:uid="{E19CF6DF-8853-4D1B-865D-FBCF2A8D00E1}" keepAlive="1" name="Query - vw_server_health (2)" description="Connection to the 'vw_server_health (2)' query in the workbook." type="5" refreshedVersion="6" background="1" saveData="1">
    <dbPr connection="Provider=Microsoft.Mashup.OleDb.1;Data Source=$Workbook$;Location=vw_server_health (2);Extended Properties=&quot;&quot;" command="SELECT * FROM [vw_server_health (2)]"/>
  </connection>
</connections>
</file>

<file path=xl/sharedStrings.xml><?xml version="1.0" encoding="utf-8"?>
<sst xmlns="http://schemas.openxmlformats.org/spreadsheetml/2006/main" count="838" uniqueCount="240">
  <si>
    <t>DBA Operations Dashboard Charts</t>
  </si>
  <si>
    <t>All charts auto-update from data sheets. Last Updated:</t>
  </si>
  <si>
    <t>Severity</t>
  </si>
  <si>
    <t>Count</t>
  </si>
  <si>
    <t>Status</t>
  </si>
  <si>
    <t>Critical</t>
  </si>
  <si>
    <t>Success</t>
  </si>
  <si>
    <t>High</t>
  </si>
  <si>
    <t>Failed</t>
  </si>
  <si>
    <t>Medium</t>
  </si>
  <si>
    <t>Running</t>
  </si>
  <si>
    <t>Low</t>
  </si>
  <si>
    <t>Server Resource Utilization (by Database)</t>
  </si>
  <si>
    <t>Database</t>
  </si>
  <si>
    <t>CPU %</t>
  </si>
  <si>
    <t>Memory %</t>
  </si>
  <si>
    <t>Disk %</t>
  </si>
  <si>
    <t>Oracle</t>
  </si>
  <si>
    <t>MySQL</t>
  </si>
  <si>
    <t>MS SQL Server</t>
  </si>
  <si>
    <t>Replica</t>
  </si>
  <si>
    <t>Seconds Behind</t>
  </si>
  <si>
    <t>Current Month Availability</t>
  </si>
  <si>
    <t>Availability %</t>
  </si>
  <si>
    <t>SLA Target %</t>
  </si>
  <si>
    <t>Monthly Availability Trend (Jan - Dec)</t>
  </si>
  <si>
    <t>Month</t>
  </si>
  <si>
    <t>Select Database:</t>
  </si>
  <si>
    <t>Side-by-side comparison across all monitored databases, with detail for the selected database below.</t>
  </si>
  <si>
    <t>Overall Availability %</t>
  </si>
  <si>
    <t>Planned Downtime (hrs)</t>
  </si>
  <si>
    <t>Unplanned Downtime (hrs)</t>
  </si>
  <si>
    <t>Total Incidents</t>
  </si>
  <si>
    <t>MTTR (mins)</t>
  </si>
  <si>
    <t>Backup Success %</t>
  </si>
  <si>
    <t>Restore Success %</t>
  </si>
  <si>
    <t>Replication Status</t>
  </si>
  <si>
    <t>Failed Backups</t>
  </si>
  <si>
    <t>Database Detail</t>
  </si>
  <si>
    <t>Metric</t>
  </si>
  <si>
    <t>Overall Availability</t>
  </si>
  <si>
    <t>MTTR</t>
  </si>
  <si>
    <t>Backup Success Rate</t>
  </si>
  <si>
    <t>Restore Success Rate</t>
  </si>
  <si>
    <t>Last Successful Full Backup</t>
  </si>
  <si>
    <t>Last Successful Incremental Backup</t>
  </si>
  <si>
    <t>Last DR Test</t>
  </si>
  <si>
    <t>Failed Restore Tests</t>
  </si>
  <si>
    <t>Replication Lag</t>
  </si>
  <si>
    <t>Current</t>
  </si>
  <si>
    <t>Target</t>
  </si>
  <si>
    <t>≥ 99.00%</t>
  </si>
  <si>
    <t>≤ 48 hrs</t>
  </si>
  <si>
    <t>≤ 2 hrs</t>
  </si>
  <si>
    <t xml:space="preserve">≤ 4/month </t>
  </si>
  <si>
    <t>≤ 4 hrs</t>
  </si>
  <si>
    <t>≥ 95%</t>
  </si>
  <si>
    <t>≥ 80%</t>
  </si>
  <si>
    <t>Healthy</t>
  </si>
  <si>
    <t>&lt; 7 days</t>
  </si>
  <si>
    <t>&lt; 24 hrs</t>
  </si>
  <si>
    <t>&lt; 6 months</t>
  </si>
  <si>
    <t>Incident Status Breakdown</t>
  </si>
  <si>
    <t>Open</t>
  </si>
  <si>
    <t>In Progress</t>
  </si>
  <si>
    <t>Resolved</t>
  </si>
  <si>
    <t>Closed</t>
  </si>
  <si>
    <t>On Hold</t>
  </si>
  <si>
    <t>Total</t>
  </si>
  <si>
    <t xml:space="preserve">Last Updated </t>
  </si>
  <si>
    <t>Ticket</t>
  </si>
  <si>
    <t>Date</t>
  </si>
  <si>
    <t>Start</t>
  </si>
  <si>
    <t>End</t>
  </si>
  <si>
    <t>Duration (hrs)</t>
  </si>
  <si>
    <t>System</t>
  </si>
  <si>
    <t>Root Cause</t>
  </si>
  <si>
    <t>Business Impact</t>
  </si>
  <si>
    <t>Resolved By</t>
  </si>
  <si>
    <t>INC-001</t>
  </si>
  <si>
    <t>No</t>
  </si>
  <si>
    <t>NMS EBS</t>
  </si>
  <si>
    <t>Disk full</t>
  </si>
  <si>
    <t>Payment processing down</t>
  </si>
  <si>
    <t>Denis Ojok</t>
  </si>
  <si>
    <t>INC-002</t>
  </si>
  <si>
    <t>Lock contention</t>
  </si>
  <si>
    <t>Slow queries on reporting</t>
  </si>
  <si>
    <t>INC-003</t>
  </si>
  <si>
    <t>NickleDB</t>
  </si>
  <si>
    <t>Connection spike</t>
  </si>
  <si>
    <t>Brief latency increase</t>
  </si>
  <si>
    <t>Ashley Atim</t>
  </si>
  <si>
    <t>INC-004</t>
  </si>
  <si>
    <t>Replication lag</t>
  </si>
  <si>
    <t>Read replica stale data</t>
  </si>
  <si>
    <t>INC-005</t>
  </si>
  <si>
    <t>Alert noise</t>
  </si>
  <si>
    <t>False positive monitoring</t>
  </si>
  <si>
    <t>Irene Katuutu</t>
  </si>
  <si>
    <t>INC-006</t>
  </si>
  <si>
    <t>Backup failure</t>
  </si>
  <si>
    <t>Backup job retry needed</t>
  </si>
  <si>
    <t>INC-007</t>
  </si>
  <si>
    <t>Network</t>
  </si>
  <si>
    <t>Stickers could not be printed</t>
  </si>
  <si>
    <t>Martin Mugerwa</t>
  </si>
  <si>
    <t>Master</t>
  </si>
  <si>
    <t>IO Thread</t>
  </si>
  <si>
    <t>SQL Thread</t>
  </si>
  <si>
    <t>Last Error</t>
  </si>
  <si>
    <t>Yes</t>
  </si>
  <si>
    <t>Backup</t>
  </si>
  <si>
    <t>Incremental</t>
  </si>
  <si>
    <t>Full</t>
  </si>
  <si>
    <t>180 days</t>
  </si>
  <si>
    <t>Server</t>
  </si>
  <si>
    <t>Tablespace %</t>
  </si>
  <si>
    <t>Connections</t>
  </si>
  <si>
    <t>Slow Queries</t>
  </si>
  <si>
    <t>Threads</t>
  </si>
  <si>
    <t>Hours Achieved</t>
  </si>
  <si>
    <t>SLA %</t>
  </si>
  <si>
    <t>May</t>
  </si>
  <si>
    <t>Change ID</t>
  </si>
  <si>
    <t>Activity</t>
  </si>
  <si>
    <t>Risk</t>
  </si>
  <si>
    <t>Rollback Plan</t>
  </si>
  <si>
    <t>Approved By</t>
  </si>
  <si>
    <t>CHG-2026-071</t>
  </si>
  <si>
    <t xml:space="preserve">Apply patch in production </t>
  </si>
  <si>
    <t>Snapshot restore available</t>
  </si>
  <si>
    <t>CICTO</t>
  </si>
  <si>
    <t>CHG-2026-072</t>
  </si>
  <si>
    <t>Migrate to Proxmox</t>
  </si>
  <si>
    <t>Restore from pre-migration storage snapshots/backups</t>
  </si>
  <si>
    <t>CHG-2026-073</t>
  </si>
  <si>
    <t>Increase CPU in production</t>
  </si>
  <si>
    <t>Shutdown VM, revert CPU allocation to original baseline, and reboot</t>
  </si>
  <si>
    <t>PMISO</t>
  </si>
  <si>
    <t>Largest Table</t>
  </si>
  <si>
    <t>All Databases</t>
  </si>
  <si>
    <t>Planned</t>
  </si>
  <si>
    <t>Check Date</t>
  </si>
  <si>
    <t>Health Status</t>
  </si>
  <si>
    <t>Stored Status</t>
  </si>
  <si>
    <t/>
  </si>
  <si>
    <t>Warning</t>
  </si>
  <si>
    <t>Month-Year</t>
  </si>
  <si>
    <t>Target Hours</t>
  </si>
  <si>
    <t>Availability % (Stored)</t>
  </si>
  <si>
    <t>Availability % (Computed)</t>
  </si>
  <si>
    <t>2026-07</t>
  </si>
  <si>
    <t>Database Size (GB)</t>
  </si>
  <si>
    <t>Disk Used %</t>
  </si>
  <si>
    <t>Tablespace Used %</t>
  </si>
  <si>
    <t>Growth (GB)</t>
  </si>
  <si>
    <t>Feb</t>
  </si>
  <si>
    <t>Jan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</si>
  <si>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</si>
  <si>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</si>
  <si>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</si>
  <si>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</si>
  <si>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</si>
  <si>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</si>
  <si>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</si>
  <si>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</si>
  <si>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</si>
  <si>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TCT 02</t>
  </si>
  <si>
    <t>nickledb</t>
  </si>
  <si>
    <t>Network intermitency</t>
  </si>
  <si>
    <t>Trips could not be loaded</t>
  </si>
  <si>
    <t>PostgreSQL</t>
  </si>
  <si>
    <t>&lt;2 minutes</t>
  </si>
  <si>
    <t>192.168.35.46</t>
  </si>
  <si>
    <t>nickeldbdr</t>
  </si>
  <si>
    <t>nickledbnew</t>
  </si>
  <si>
    <t>note</t>
  </si>
  <si>
    <t>record_type</t>
  </si>
  <si>
    <t>database</t>
  </si>
  <si>
    <t>date</t>
  </si>
  <si>
    <t>database_instance</t>
  </si>
  <si>
    <t>backup_type</t>
  </si>
  <si>
    <t>backup_used</t>
  </si>
  <si>
    <t>start</t>
  </si>
  <si>
    <t>end</t>
  </si>
  <si>
    <t>duration_mins</t>
  </si>
  <si>
    <t>outcome</t>
  </si>
  <si>
    <t>location</t>
  </si>
  <si>
    <t>verified</t>
  </si>
  <si>
    <t>restore_tested</t>
  </si>
  <si>
    <t>compression</t>
  </si>
  <si>
    <t>retention</t>
  </si>
  <si>
    <t>comments</t>
  </si>
  <si>
    <t>nickeldb_2026-07-01_20-59-02_inc.tar.gz</t>
  </si>
  <si>
    <t>/nfsdata/backup/incremental/nickeldb_2026-07-01_20-59-02_inc.tar.gz</t>
  </si>
  <si>
    <t>7 Days</t>
  </si>
  <si>
    <t>nickeldb_2026-07-02_20-59-01_inc.tar.gz</t>
  </si>
  <si>
    <t>/nfsdata/backup/incremental/nickeldb_2026-07-02_20-59-01_inc.tar.gz</t>
  </si>
  <si>
    <t>nickeldb_2026-07-04_20-59-01_full.sql.gz</t>
  </si>
  <si>
    <t>/nfsdata/backup/full/nickeldb_2026-07-04_20-59-01_full.sql.gz</t>
  </si>
  <si>
    <t>180 Days</t>
  </si>
  <si>
    <t>nickeldb_2026-07-05_20-59-01_inc.tar.gz</t>
  </si>
  <si>
    <t>/nfsdata/backup/incremental/nickeldb_2026-07-05_20-59-01_inc.tar.gz</t>
  </si>
  <si>
    <t>nickeldb_2026-07-06_20-59-01_inc.tar.gz</t>
  </si>
  <si>
    <t>/nfsdata/backup/incremental/nickeldb_2026-07-06_20-59-01_inc.tar.gz</t>
  </si>
  <si>
    <t>nickeldb_2026-07-07_20-59-01_inc.tar.gz</t>
  </si>
  <si>
    <t>/nfsdata/backup/incremental/nickeldb_2026-07-07_20-59-01_inc.tar.gz</t>
  </si>
  <si>
    <t>nickeldb_2026-07-08_20-59-01_inc.tar.gz</t>
  </si>
  <si>
    <t>/nfsdata/backup/incremental/nickeldb_2026-07-08_20-59-01_inc.tar.gz</t>
  </si>
  <si>
    <t>nickeldb_2026-07-09_20-59-01_inc.tar.gz</t>
  </si>
  <si>
    <t>/nfsdata/backup/incremental/nickeldb_2026-07-09_20-59-01_inc.tar.gz</t>
  </si>
  <si>
    <t>nickeldb_2026-07-10_20-59-01_inc.tar.gz</t>
  </si>
  <si>
    <t>/nfsdata/backup/incremental/nickeldb_2026-07-10_20-59-01_inc.tar.gz</t>
  </si>
  <si>
    <t>nickeldb_2026-07-11_20-59-01_full.sql.gz</t>
  </si>
  <si>
    <t>/nfsdata/backup/full/nickeldb_2026-07-11_20-59-01_full.sql.gz</t>
  </si>
  <si>
    <t>nickeldb_2026-07-12_20-59-01_inc.tar.gz</t>
  </si>
  <si>
    <t>/nfsdata/backup/incremental/nickeldb_2026-07-12_20-59-01_inc.tar.gz</t>
  </si>
  <si>
    <t>nickeldb_2026-07-13_20-59-01_inc.tar.gz</t>
  </si>
  <si>
    <t>/nfsdata/backup/incremental/nickeldb_2026-07-13_20-59-01_inc.tar.gz</t>
  </si>
  <si>
    <t>nickeldb_2026-07-14_20-59-01_inc.tar.gz</t>
  </si>
  <si>
    <t>/nfsdata/backup/incremental/nickeldb_2026-07-14_20-59-01_inc.tar.gz</t>
  </si>
  <si>
    <t>nickeldb_2026-07-15_20-59-01_inc.tar.gz</t>
  </si>
  <si>
    <t>/nfsdata/backup/incremental/nickeldb_2026-07-15_20-59-01_inc.tar.gz</t>
  </si>
  <si>
    <t>nickeldb_2026-07-16_20-59-01_inc.tar.gz</t>
  </si>
  <si>
    <t>/nfsdata/backup/incremental/nickeldb_2026-07-16_20-59-01_inc.tar.gz</t>
  </si>
  <si>
    <t>nickeldb_2026-07-17_20-59-01_inc.tar.gz</t>
  </si>
  <si>
    <t>/nfsdata/backup/incremental/nickeldb_2026-07-17_20-59-01_inc.tar.gz</t>
  </si>
  <si>
    <t>nickeldb_2026-07-18_20-59-01_full.sql.gz</t>
  </si>
  <si>
    <t>/nfsdata/backup/full/nickeldb_2026-07-18_20-59-01_full.sql.gz</t>
  </si>
  <si>
    <t>nickeldb_2026-07-19_20-59-01_inc.tar.gz</t>
  </si>
  <si>
    <t>/nfsdata/backup/incremental/nickeldb_2026-07-19_20-59-01_inc.tar.gz</t>
  </si>
  <si>
    <t>nickeldb_2026-07-20_20-59-01_inc.tar.gz</t>
  </si>
  <si>
    <t>/nfsdata/backup/incremental/nickeldb_2026-07-20_20-59-01_inc.tar.gz</t>
  </si>
  <si>
    <t>nickeldb_2026-07-21_20-59-01_inc.tar.gz</t>
  </si>
  <si>
    <t>/nfsdata/backup/incremental/nickeldb_2026-07-21_20-59-01_inc.tar.gz</t>
  </si>
  <si>
    <t>MKInsight National Medical Stores - Live</t>
  </si>
  <si>
    <t>nickeldb_2026-07-23_20-59-01_inc.tar.gz</t>
  </si>
  <si>
    <t>/nfsdata/backup/incremental/nickeldb_2026-07-23_20-59-01_inc.tar.gz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</si>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</sst>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\%"/>
    <numFmt numFmtId="165" formatCode="0.00;[Red]0.00"/>
    <numFmt numFmtId="166" formatCode="0.0\%"/>
    <numFmt numFmtId="167" formatCode="yyyy\-mm\-dd\ hh:mm:ss"/>
    <numFmt numFmtId="168" formatCode="[$-F800]dddd&quot;, &quot;mmmm\ dd&quot;, &quot;yyyy"/>
    <numFmt numFmtId="169" formatCode="[$-F400]h:mm:ss\ AM/PM"/>
    <numFmt numFmtId="170" formatCode="yyyy\-mm\-dd\ h:mm:ss"/>
    <numFmt numFmtId="171" formatCode="[$-409]mmmm\ d\,\ yyyy;@"/>
    <numFmt numFmtId="172" formatCode="[$-F800]dddd\,\ mmmm\ dd\,\ yyyy"/>
    <numFmt numFmtId="175" formatCode="[$-409]m/d/yy\ h:mm\ AM/PM;@"/>
  </numFmts>
  <fonts count="25" x14ac:knownFonts="1">
    <font>
      <sz val="11"/>
      <color theme="1"/>
      <name val="Calibri"/>
      <family val="2"/>
      <charset val="1"/>
    </font>
    <font>
      <sz val="11"/>
      <color theme="1"/>
      <name val="Bookman Old Style"/>
      <family val="1"/>
      <charset val="1"/>
    </font>
    <font>
      <b/>
      <sz val="14"/>
      <color rgb="FFFFFFFF"/>
      <name val="Bookman Old Style"/>
      <family val="1"/>
      <charset val="1"/>
    </font>
    <font>
      <b/>
      <sz val="12"/>
      <name val="Bookman Old Style"/>
      <family val="1"/>
      <charset val="1"/>
    </font>
    <font>
      <b/>
      <sz val="11"/>
      <color theme="1"/>
      <name val="Bookman Old Style"/>
      <family val="1"/>
      <charset val="1"/>
    </font>
    <font>
      <i/>
      <sz val="10"/>
      <name val="Bookman Old Style"/>
      <family val="1"/>
      <charset val="1"/>
    </font>
    <font>
      <b/>
      <sz val="11"/>
      <color rgb="FFFFFFFF"/>
      <name val="Bookman Old Style"/>
      <family val="1"/>
      <charset val="1"/>
    </font>
    <font>
      <b/>
      <sz val="13"/>
      <name val="Bookman Old Style"/>
      <family val="1"/>
      <charset val="1"/>
    </font>
    <font>
      <b/>
      <sz val="10"/>
      <name val="Bookman Old Style"/>
      <family val="1"/>
      <charset val="1"/>
    </font>
    <font>
      <i/>
      <sz val="11"/>
      <color theme="1"/>
      <name val="Bookman Old Style"/>
      <family val="1"/>
      <charset val="1"/>
    </font>
    <font>
      <b/>
      <sz val="12"/>
      <color rgb="FFFFFFFF"/>
      <name val="Bookman Old Style"/>
      <family val="1"/>
      <charset val="1"/>
    </font>
    <font>
      <b/>
      <i/>
      <sz val="10"/>
      <color rgb="FF666666"/>
      <name val="Bookman Old Style"/>
      <family val="1"/>
      <charset val="1"/>
    </font>
    <font>
      <b/>
      <sz val="11"/>
      <name val="Bookman Old Style"/>
      <family val="1"/>
      <charset val="1"/>
    </font>
    <font>
      <b/>
      <sz val="11"/>
      <color theme="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theme="1"/>
      <name val="Bookman Old Style"/>
      <family val="1"/>
    </font>
    <font>
      <b/>
      <sz val="10"/>
      <color rgb="FFFFFFFF"/>
      <name val="Bookman Old Style"/>
      <family val="1"/>
    </font>
    <font>
      <b/>
      <sz val="10"/>
      <color theme="0"/>
      <name val="Bookman Old Style"/>
      <family val="1"/>
    </font>
    <font>
      <sz val="11"/>
      <name val="Bookman Old Style"/>
      <family val="1"/>
    </font>
    <font>
      <sz val="11"/>
      <color theme="1"/>
      <name val="Bookman Old Style"/>
      <family val="1"/>
    </font>
    <font>
      <sz val="11"/>
      <color theme="0"/>
      <name val="Bookman Old Style"/>
      <family val="1"/>
    </font>
    <font>
      <sz val="10"/>
      <name val="Bookman Old Style"/>
      <family val="1"/>
    </font>
    <font>
      <b/>
      <sz val="12"/>
      <color rgb="FF002060"/>
      <name val="Bookman Old Style"/>
      <family val="1"/>
      <charset val="1"/>
    </font>
    <font>
      <b/>
      <sz val="14"/>
      <color rgb="FFFFFFFF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rgb="FF1F497D"/>
      </patternFill>
    </fill>
    <fill>
      <patternFill patternType="solid">
        <fgColor rgb="FF002060"/>
        <bgColor rgb="FF000080"/>
      </patternFill>
    </fill>
    <fill>
      <patternFill patternType="solid">
        <fgColor theme="0"/>
        <bgColor rgb="FFFFF9E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80"/>
      </patternFill>
    </fill>
    <fill>
      <patternFill patternType="solid">
        <fgColor theme="0"/>
        <bgColor rgb="FF397BCA"/>
      </patternFill>
    </fill>
    <fill>
      <patternFill patternType="solid">
        <fgColor rgb="FF002060"/>
        <bgColor rgb="FF10243E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6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10" fontId="1" fillId="0" borderId="1" xfId="0" applyNumberFormat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4" fillId="3" borderId="0" xfId="0" applyFont="1" applyFill="1" applyAlignment="1">
      <alignment horizontal="center" vertical="center" wrapText="1"/>
    </xf>
    <xf numFmtId="165" fontId="14" fillId="3" borderId="0" xfId="0" applyNumberFormat="1" applyFont="1" applyFill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0" fontId="0" fillId="0" borderId="0" xfId="0"/>
    <xf numFmtId="170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3" xfId="0" applyNumberFormat="1" applyBorder="1"/>
    <xf numFmtId="21" fontId="0" fillId="0" borderId="3" xfId="0" applyNumberFormat="1" applyBorder="1"/>
    <xf numFmtId="0" fontId="16" fillId="0" borderId="0" xfId="0" applyFont="1"/>
    <xf numFmtId="167" fontId="16" fillId="0" borderId="3" xfId="0" applyNumberFormat="1" applyFont="1" applyBorder="1"/>
    <xf numFmtId="167" fontId="16" fillId="0" borderId="0" xfId="0" applyNumberFormat="1" applyFont="1"/>
    <xf numFmtId="165" fontId="16" fillId="0" borderId="0" xfId="0" applyNumberFormat="1" applyFont="1"/>
    <xf numFmtId="165" fontId="16" fillId="0" borderId="3" xfId="0" applyNumberFormat="1" applyFont="1" applyBorder="1"/>
    <xf numFmtId="0" fontId="16" fillId="0" borderId="3" xfId="0" applyFont="1" applyBorder="1"/>
    <xf numFmtId="0" fontId="16" fillId="0" borderId="3" xfId="0" applyFont="1" applyBorder="1" applyAlignment="1">
      <alignment wrapText="1"/>
    </xf>
    <xf numFmtId="0" fontId="0" fillId="5" borderId="0" xfId="0" applyFill="1"/>
    <xf numFmtId="171" fontId="16" fillId="0" borderId="0" xfId="0" applyNumberFormat="1" applyFont="1"/>
    <xf numFmtId="172" fontId="0" fillId="0" borderId="3" xfId="0" applyNumberFormat="1" applyBorder="1"/>
    <xf numFmtId="0" fontId="0" fillId="0" borderId="3" xfId="0" applyBorder="1"/>
    <xf numFmtId="165" fontId="6" fillId="2" borderId="1" xfId="0" applyNumberFormat="1" applyFont="1" applyFill="1" applyBorder="1" applyAlignment="1">
      <alignment horizontal="center" vertical="center" wrapText="1"/>
    </xf>
    <xf numFmtId="165" fontId="1" fillId="4" borderId="0" xfId="0" applyNumberFormat="1" applyFont="1" applyFill="1" applyAlignment="1">
      <alignment horizontal="center"/>
    </xf>
    <xf numFmtId="0" fontId="15" fillId="5" borderId="0" xfId="0" applyFont="1" applyFill="1"/>
    <xf numFmtId="0" fontId="16" fillId="0" borderId="5" xfId="0" applyFont="1" applyBorder="1"/>
    <xf numFmtId="165" fontId="16" fillId="0" borderId="5" xfId="0" applyNumberFormat="1" applyFont="1" applyBorder="1"/>
    <xf numFmtId="0" fontId="21" fillId="3" borderId="0" xfId="0" applyFont="1" applyFill="1"/>
    <xf numFmtId="165" fontId="21" fillId="3" borderId="0" xfId="0" applyNumberFormat="1" applyFont="1" applyFill="1"/>
    <xf numFmtId="0" fontId="19" fillId="0" borderId="0" xfId="0" applyFont="1" applyAlignment="1">
      <alignment horizontal="right"/>
    </xf>
    <xf numFmtId="0" fontId="19" fillId="5" borderId="0" xfId="0" applyFont="1" applyFill="1" applyAlignment="1">
      <alignment horizontal="right"/>
    </xf>
    <xf numFmtId="0" fontId="20" fillId="0" borderId="0" xfId="0" applyFont="1"/>
    <xf numFmtId="165" fontId="19" fillId="0" borderId="0" xfId="0" applyNumberFormat="1" applyFont="1"/>
    <xf numFmtId="165" fontId="20" fillId="0" borderId="0" xfId="0" applyNumberFormat="1" applyFont="1"/>
    <xf numFmtId="0" fontId="18" fillId="6" borderId="0" xfId="0" applyFont="1" applyFill="1"/>
    <xf numFmtId="0" fontId="16" fillId="6" borderId="0" xfId="0" applyFont="1" applyFill="1"/>
    <xf numFmtId="165" fontId="16" fillId="6" borderId="0" xfId="0" applyNumberFormat="1" applyFont="1" applyFill="1"/>
    <xf numFmtId="0" fontId="17" fillId="7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 wrapText="1"/>
    </xf>
    <xf numFmtId="165" fontId="17" fillId="7" borderId="0" xfId="0" applyNumberFormat="1" applyFont="1" applyFill="1" applyAlignment="1">
      <alignment horizontal="center" vertical="center" wrapText="1"/>
    </xf>
    <xf numFmtId="0" fontId="16" fillId="5" borderId="0" xfId="0" applyFont="1" applyFill="1"/>
    <xf numFmtId="0" fontId="17" fillId="4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22" fillId="0" borderId="0" xfId="0" applyFont="1"/>
    <xf numFmtId="165" fontId="22" fillId="0" borderId="0" xfId="0" applyNumberFormat="1" applyFont="1"/>
    <xf numFmtId="17" fontId="22" fillId="0" borderId="0" xfId="0" applyNumberFormat="1" applyFont="1"/>
    <xf numFmtId="171" fontId="16" fillId="0" borderId="7" xfId="0" applyNumberFormat="1" applyFont="1" applyBorder="1"/>
    <xf numFmtId="0" fontId="16" fillId="0" borderId="8" xfId="0" applyFont="1" applyBorder="1"/>
    <xf numFmtId="171" fontId="17" fillId="3" borderId="9" xfId="0" applyNumberFormat="1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167" fontId="17" fillId="3" borderId="6" xfId="0" applyNumberFormat="1" applyFont="1" applyFill="1" applyBorder="1" applyAlignment="1">
      <alignment horizontal="center" vertical="center" wrapText="1"/>
    </xf>
    <xf numFmtId="165" fontId="17" fillId="3" borderId="6" xfId="0" applyNumberFormat="1" applyFont="1" applyFill="1" applyBorder="1" applyAlignment="1">
      <alignment horizontal="center" vertical="center" wrapText="1"/>
    </xf>
    <xf numFmtId="171" fontId="16" fillId="0" borderId="11" xfId="0" applyNumberFormat="1" applyFont="1" applyBorder="1"/>
    <xf numFmtId="167" fontId="16" fillId="0" borderId="5" xfId="0" applyNumberFormat="1" applyFont="1" applyBorder="1"/>
    <xf numFmtId="0" fontId="16" fillId="0" borderId="5" xfId="0" applyFont="1" applyBorder="1" applyAlignment="1">
      <alignment wrapText="1"/>
    </xf>
    <xf numFmtId="0" fontId="16" fillId="0" borderId="12" xfId="0" applyFont="1" applyBorder="1"/>
    <xf numFmtId="171" fontId="16" fillId="0" borderId="9" xfId="0" applyNumberFormat="1" applyFont="1" applyBorder="1"/>
    <xf numFmtId="167" fontId="16" fillId="0" borderId="6" xfId="0" applyNumberFormat="1" applyFont="1" applyBorder="1"/>
    <xf numFmtId="0" fontId="17" fillId="3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4" fillId="3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1" fillId="3" borderId="0" xfId="0" applyFont="1" applyFill="1" applyAlignment="1">
      <alignment horizontal="left"/>
    </xf>
    <xf numFmtId="0" fontId="21" fillId="3" borderId="0" xfId="0" applyFont="1" applyFill="1" applyAlignment="1">
      <alignment wrapText="1"/>
    </xf>
    <xf numFmtId="165" fontId="19" fillId="0" borderId="0" xfId="0" applyNumberFormat="1" applyFont="1" applyAlignment="1"/>
    <xf numFmtId="17" fontId="22" fillId="0" borderId="0" xfId="0" applyNumberFormat="1" applyFont="1" applyAlignment="1"/>
    <xf numFmtId="0" fontId="22" fillId="0" borderId="0" xfId="0" applyFont="1" applyAlignment="1"/>
    <xf numFmtId="0" fontId="16" fillId="0" borderId="0" xfId="0" applyFont="1" applyAlignment="1"/>
    <xf numFmtId="0" fontId="19" fillId="7" borderId="0" xfId="0" applyFont="1" applyFill="1" applyAlignment="1">
      <alignment horizontal="right" wrapText="1"/>
    </xf>
    <xf numFmtId="165" fontId="19" fillId="7" borderId="0" xfId="0" applyNumberFormat="1" applyFont="1" applyFill="1" applyAlignment="1">
      <alignment horizontal="right" wrapText="1"/>
    </xf>
    <xf numFmtId="165" fontId="19" fillId="7" borderId="0" xfId="0" applyNumberFormat="1" applyFont="1" applyFill="1" applyAlignment="1">
      <alignment horizontal="right" vertical="center" wrapText="1"/>
    </xf>
    <xf numFmtId="0" fontId="19" fillId="7" borderId="0" xfId="0" applyFont="1" applyFill="1" applyAlignment="1">
      <alignment horizontal="right" vertical="center"/>
    </xf>
    <xf numFmtId="165" fontId="21" fillId="3" borderId="0" xfId="0" applyNumberFormat="1" applyFont="1" applyFill="1" applyAlignment="1">
      <alignment wrapText="1"/>
    </xf>
    <xf numFmtId="165" fontId="19" fillId="5" borderId="0" xfId="0" applyNumberFormat="1" applyFont="1" applyFill="1" applyAlignment="1">
      <alignment horizontal="right"/>
    </xf>
    <xf numFmtId="165" fontId="19" fillId="7" borderId="0" xfId="0" applyNumberFormat="1" applyFont="1" applyFill="1" applyAlignment="1">
      <alignment horizontal="right" vertical="center"/>
    </xf>
    <xf numFmtId="0" fontId="1" fillId="0" borderId="0" xfId="0" applyFont="1" applyAlignment="1"/>
    <xf numFmtId="0" fontId="1" fillId="8" borderId="0" xfId="0" applyFont="1" applyFill="1" applyAlignment="1"/>
    <xf numFmtId="0" fontId="3" fillId="0" borderId="0" xfId="0" applyFont="1" applyAlignment="1"/>
    <xf numFmtId="0" fontId="4" fillId="4" borderId="0" xfId="0" applyFont="1" applyFill="1" applyAlignment="1"/>
    <xf numFmtId="165" fontId="1" fillId="0" borderId="0" xfId="0" applyNumberFormat="1" applyFont="1" applyAlignment="1"/>
    <xf numFmtId="0" fontId="23" fillId="0" borderId="0" xfId="0" applyFont="1" applyAlignment="1"/>
    <xf numFmtId="0" fontId="5" fillId="0" borderId="0" xfId="0" applyFont="1" applyAlignment="1"/>
    <xf numFmtId="0" fontId="7" fillId="0" borderId="0" xfId="0" applyFont="1" applyAlignment="1"/>
    <xf numFmtId="0" fontId="6" fillId="2" borderId="1" xfId="0" applyFont="1" applyFill="1" applyBorder="1" applyAlignment="1"/>
    <xf numFmtId="0" fontId="6" fillId="4" borderId="0" xfId="0" applyFont="1" applyFill="1" applyAlignment="1"/>
    <xf numFmtId="0" fontId="1" fillId="4" borderId="0" xfId="0" applyFont="1" applyFill="1" applyAlignment="1"/>
    <xf numFmtId="0" fontId="9" fillId="0" borderId="0" xfId="0" applyFont="1" applyAlignment="1"/>
    <xf numFmtId="0" fontId="4" fillId="0" borderId="0" xfId="0" applyFont="1" applyAlignment="1"/>
    <xf numFmtId="165" fontId="4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11" fillId="0" borderId="0" xfId="0" applyFont="1" applyAlignment="1"/>
    <xf numFmtId="167" fontId="11" fillId="0" borderId="0" xfId="0" applyNumberFormat="1" applyFont="1" applyAlignment="1"/>
    <xf numFmtId="0" fontId="1" fillId="0" borderId="3" xfId="0" applyFont="1" applyBorder="1" applyAlignment="1"/>
    <xf numFmtId="0" fontId="12" fillId="0" borderId="3" xfId="0" applyFont="1" applyBorder="1" applyAlignment="1"/>
    <xf numFmtId="0" fontId="0" fillId="0" borderId="3" xfId="0" applyFont="1" applyBorder="1" applyAlignment="1"/>
    <xf numFmtId="0" fontId="12" fillId="0" borderId="0" xfId="0" applyFont="1" applyAlignment="1"/>
    <xf numFmtId="0" fontId="13" fillId="0" borderId="0" xfId="0" applyFont="1" applyAlignment="1"/>
    <xf numFmtId="17" fontId="0" fillId="0" borderId="0" xfId="0" applyNumberFormat="1" applyFont="1" applyAlignment="1"/>
    <xf numFmtId="2" fontId="0" fillId="0" borderId="0" xfId="0" applyNumberFormat="1" applyAlignment="1"/>
    <xf numFmtId="2" fontId="1" fillId="0" borderId="0" xfId="0" applyNumberFormat="1" applyFont="1" applyAlignment="1"/>
    <xf numFmtId="165" fontId="0" fillId="0" borderId="0" xfId="0" applyNumberFormat="1" applyAlignment="1"/>
    <xf numFmtId="165" fontId="0" fillId="0" borderId="3" xfId="0" applyNumberFormat="1" applyBorder="1" applyAlignment="1"/>
    <xf numFmtId="22" fontId="0" fillId="0" borderId="0" xfId="0" applyNumberFormat="1"/>
    <xf numFmtId="0" fontId="10" fillId="8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22" fontId="9" fillId="0" borderId="0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175" fontId="0" fillId="0" borderId="0" xfId="0" applyNumberFormat="1"/>
    <xf numFmtId="0" fontId="2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42">
    <dxf>
      <numFmt numFmtId="27" formatCode="m/d/yyyy\ h:mm"/>
    </dxf>
    <dxf>
      <numFmt numFmtId="27" formatCode="m/d/yyyy\ h:mm"/>
    </dxf>
    <dxf>
      <numFmt numFmtId="27" formatCode="m/d/yyyy\ h:mm"/>
    </dxf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6BCB77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ont>
        <b/>
        <color rgb="FF1A1A1A"/>
      </font>
      <fill>
        <patternFill>
          <bgColor rgb="FF6BCB77"/>
        </patternFill>
      </fill>
    </dxf>
    <dxf>
      <font>
        <b/>
        <color rgb="FF1A1A1A"/>
      </font>
      <fill>
        <patternFill>
          <bgColor rgb="FFFFD93D"/>
        </patternFill>
      </fill>
    </dxf>
    <dxf>
      <font>
        <b/>
        <color rgb="FFFFFFFF"/>
      </font>
      <fill>
        <patternFill>
          <bgColor rgb="FFFF6B6B"/>
        </patternFill>
      </fill>
    </dxf>
    <dxf>
      <fill>
        <patternFill>
          <bgColor rgb="FFFFF9E5"/>
        </patternFill>
      </fill>
    </dxf>
    <dxf>
      <fill>
        <patternFill>
          <bgColor rgb="FFFFE5E5"/>
        </patternFill>
      </fill>
    </dxf>
    <dxf>
      <fill>
        <patternFill patternType="solid">
          <fgColor rgb="FFFFF59D"/>
          <bgColor rgb="FFFFF59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E2F0D9"/>
          <bgColor rgb="FFE2F0D9"/>
        </patternFill>
      </fill>
    </dxf>
    <dxf>
      <fill>
        <patternFill patternType="solid">
          <fgColor rgb="FFFFF59D"/>
          <bgColor rgb="FFFFF59D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>
          <bgColor rgb="FFFFF9E5"/>
        </patternFill>
      </fill>
    </dxf>
    <dxf>
      <fill>
        <patternFill>
          <bgColor rgb="FFFFE8CC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E8CC"/>
        </patternFill>
      </fill>
    </dxf>
    <dxf>
      <fill>
        <patternFill>
          <bgColor rgb="FFFFE5E5"/>
        </patternFill>
      </fill>
    </dxf>
    <dxf>
      <fill>
        <patternFill>
          <bgColor rgb="FFFFF9E5"/>
        </patternFill>
      </fill>
    </dxf>
    <dxf>
      <fill>
        <patternFill>
          <bgColor rgb="FFFFE8CC"/>
        </patternFill>
      </fill>
    </dxf>
    <dxf>
      <fill>
        <patternFill>
          <bgColor rgb="FFFFE5E5"/>
        </patternFill>
      </fill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border diagonalUp="0" diagonalDown="0">
        <left style="thick">
          <color rgb="FF1F4E78"/>
        </left>
        <right style="thick">
          <color rgb="FF1F4E78"/>
        </right>
        <top style="thick">
          <color rgb="FF1F4E78"/>
        </top>
        <bottom style="thick">
          <color rgb="FF1F4E78"/>
        </bottom>
      </border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sz val="11"/>
        <color rgb="FF000000"/>
        <name val="Calibri"/>
        <family val="2"/>
        <charset val="1"/>
      </font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000000"/>
        </patternFill>
      </fill>
    </dxf>
    <dxf>
      <font>
        <color auto="1"/>
      </font>
      <fill>
        <patternFill patternType="none">
          <bgColor auto="1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FFFFFF"/>
      </font>
      <fill>
        <patternFill>
          <bgColor rgb="FFFFC7CE"/>
        </patternFill>
      </fill>
    </dxf>
    <dxf>
      <font>
        <color rgb="FFFFFFFF"/>
      </font>
      <fill>
        <patternFill>
          <bgColor rgb="FFFFEB9C"/>
        </patternFill>
      </fill>
    </dxf>
    <dxf>
      <font>
        <color rgb="FFFFFFFF"/>
      </font>
      <fill>
        <patternFill>
          <bgColor rgb="FFC6EFCE"/>
        </patternFill>
      </fill>
    </dxf>
    <dxf>
      <font>
        <color rgb="FFFFFFFF"/>
      </font>
      <fill>
        <patternFill>
          <bgColor rgb="FF000000"/>
        </patternFill>
      </fill>
    </dxf>
    <dxf>
      <font>
        <color rgb="FFFFFFFF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65" formatCode="0.00;[Red]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67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67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  <numFmt numFmtId="171" formatCode="[$-409]mmmm\ d\,\ yyyy;@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70" formatCode="yyyy\-mm\-dd\ h:mm:ss"/>
      <alignment horizontal="center" vertical="bottom" textRotation="0" wrapText="0" indent="0" justifyLastLine="0" shrinkToFit="0" readingOrder="0"/>
    </dxf>
    <dxf>
      <numFmt numFmtId="175" formatCode="[$-409]m/d/yy\ h:mm\ AM/PM;@"/>
    </dxf>
    <dxf>
      <numFmt numFmtId="165" formatCode="0.00;[Red]0.00"/>
    </dxf>
    <dxf>
      <numFmt numFmtId="169" formatCode="[$-F400]h:mm:ss\ AM/PM"/>
    </dxf>
    <dxf>
      <numFmt numFmtId="169" formatCode="[$-F400]h:mm:ss\ AM/PM"/>
    </dxf>
    <dxf>
      <numFmt numFmtId="168" formatCode="[$-F800]dddd&quot;, &quot;mmmm\ dd&quot;, &quot;yyyy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000080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man Old Style"/>
        <family val="1"/>
        <scheme val="none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Bookman Old Style"/>
        <family val="1"/>
        <scheme val="none"/>
      </font>
      <fill>
        <patternFill patternType="solid">
          <fgColor rgb="FF000080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numFmt numFmtId="165" formatCode="0.00;[Red]0.0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numFmt numFmtId="165" formatCode="0.00;[Red]0.0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numFmt numFmtId="165" formatCode="0.00;[Red]0.0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alignment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Bookman Old Style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Bookman Old Style"/>
        <family val="1"/>
        <scheme val="none"/>
      </font>
      <fill>
        <patternFill patternType="solid">
          <fgColor rgb="FF000080"/>
          <bgColor rgb="FF00206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000080"/>
          <bgColor rgb="FF002060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1"/>
        <scheme val="none"/>
      </font>
      <fill>
        <patternFill patternType="solid">
          <fgColor rgb="FF000080"/>
          <bgColor rgb="FF00206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E3A36"/>
      <rgbColor rgb="FF00FF00"/>
      <rgbColor rgb="FF0000FF"/>
      <rgbColor rgb="FFFFFF00"/>
      <rgbColor rgb="FFFF00FF"/>
      <rgbColor rgb="FF00FFFF"/>
      <rgbColor rgb="FF800000"/>
      <rgbColor rgb="FF1F4E78"/>
      <rgbColor rgb="FF000080"/>
      <rgbColor rgb="FF779637"/>
      <rgbColor rgb="FF4472C4"/>
      <rgbColor rgb="FF397BCA"/>
      <rgbColor rgb="FFCCCCCC"/>
      <rgbColor rgb="FF738B42"/>
      <rgbColor rgb="FF4F81BD"/>
      <rgbColor rgb="FF8F3B39"/>
      <rgbColor rgb="FFFFF9E5"/>
      <rgbColor rgb="FFD4E3F4"/>
      <rgbColor rgb="FF595959"/>
      <rgbColor rgb="FFFF6B6B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3A608D"/>
      <rgbColor rgb="FF0000FF"/>
      <rgbColor rgb="FF6BCB77"/>
      <rgbColor rgb="FFFFE5E5"/>
      <rgbColor rgb="FFC6EFCE"/>
      <rgbColor rgb="FFFFEB9C"/>
      <rgbColor rgb="FF99CCFF"/>
      <rgbColor rgb="FFFFE8CC"/>
      <rgbColor rgb="FF96B656"/>
      <rgbColor rgb="FFFFC7CE"/>
      <rgbColor rgb="FF3B82F6"/>
      <rgbColor rgb="FF4BACC6"/>
      <rgbColor rgb="FF9CC745"/>
      <rgbColor rgb="FFFFD93D"/>
      <rgbColor rgb="FFFF9F45"/>
      <rgbColor rgb="FFF79646"/>
      <rgbColor rgb="FF666666"/>
      <rgbColor rgb="FFB3B3B3"/>
      <rgbColor rgb="FF002060"/>
      <rgbColor rgb="FF4C7DB7"/>
      <rgbColor rgb="FF254061"/>
      <rgbColor rgb="FF1A1A1A"/>
      <rgbColor rgb="FF9C2F2C"/>
      <rgbColor rgb="FFBA4D4A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400" b="1" strike="noStrike" spc="-1">
                <a:solidFill>
                  <a:srgbClr val="10243E"/>
                </a:solidFill>
                <a:latin typeface="Bookman Old Style"/>
              </a:defRPr>
            </a:pPr>
            <a:r>
              <a:rPr lang="en-US" sz="1400" b="1" strike="noStrike" spc="-1">
                <a:solidFill>
                  <a:srgbClr val="10243E"/>
                </a:solidFill>
                <a:latin typeface="Bookman Old Style"/>
              </a:rPr>
              <a:t>Database Incident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[1]Charts!$B$100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C0504D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A672-4764-9CE1-5E462A03AF38}"/>
              </c:ext>
            </c:extLst>
          </c:dPt>
          <c:dPt>
            <c:idx val="1"/>
            <c:bubble3D val="0"/>
            <c:spPr>
              <a:solidFill>
                <a:srgbClr val="8064A2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A672-4764-9CE1-5E462A03AF38}"/>
              </c:ext>
            </c:extLst>
          </c:dPt>
          <c:dPt>
            <c:idx val="2"/>
            <c:bubble3D val="0"/>
            <c:spPr>
              <a:solidFill>
                <a:srgbClr val="F79646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A672-4764-9CE1-5E462A03AF38}"/>
              </c:ext>
            </c:extLst>
          </c:dPt>
          <c:dPt>
            <c:idx val="3"/>
            <c:bubble3D val="0"/>
            <c:spPr>
              <a:solidFill>
                <a:srgbClr val="772C2A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A672-4764-9CE1-5E462A03AF38}"/>
              </c:ext>
            </c:extLst>
          </c:dPt>
          <c:dLbls>
            <c:dLbl>
              <c:idx val="0"/>
              <c:dLblPos val="bestFit"/>
              <c:showLegendKey val="1"/>
              <c:showVal val="1"/>
              <c:showCatName val="1"/>
              <c:showSerName val="0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72-4764-9CE1-5E462A03AF38}"/>
                </c:ext>
              </c:extLst>
            </c:dLbl>
            <c:spPr>
              <a:solidFill>
                <a:srgbClr val="DDD9C3"/>
              </a:solidFill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[1]Charts!$A$101:$A$104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[1]Charts!$B$101:$B$104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72-4764-9CE1-5E462A03A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10243E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10243E"/>
                </a:solidFill>
                <a:latin typeface="Calibri"/>
              </a:rPr>
              <a:t>Database Server Health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8909373180671503E-2"/>
          <c:y val="0.12667958252609199"/>
          <c:w val="0.95881040170774301"/>
          <c:h val="0.77470158115117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[1]Charts!$B$108</c:f>
              <c:strCache>
                <c:ptCount val="1"/>
                <c:pt idx="0">
                  <c:v>CPU %</c:v>
                </c:pt>
              </c:strCache>
            </c:strRef>
          </c:tx>
          <c:spPr>
            <a:gradFill>
              <a:gsLst>
                <a:gs pos="0">
                  <a:srgbClr val="3A608D"/>
                </a:gs>
                <a:gs pos="80000">
                  <a:srgbClr val="4C7CB7"/>
                </a:gs>
                <a:gs pos="100000">
                  <a:srgbClr val="4C7DB7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[1]Charts!$A$109:$A$112</c:f>
              <c:strCache>
                <c:ptCount val="4"/>
                <c:pt idx="0">
                  <c:v>Oracle</c:v>
                </c:pt>
                <c:pt idx="1">
                  <c:v>MySQL</c:v>
                </c:pt>
                <c:pt idx="2">
                  <c:v>MS SQL Server</c:v>
                </c:pt>
                <c:pt idx="3">
                  <c:v>PostgreSQL</c:v>
                </c:pt>
              </c:strCache>
            </c:strRef>
          </c:cat>
          <c:val>
            <c:numRef>
              <c:f>[1]Charts!$B$109:$B$112</c:f>
              <c:numCache>
                <c:formatCode>General</c:formatCode>
                <c:ptCount val="4"/>
                <c:pt idx="0">
                  <c:v>45</c:v>
                </c:pt>
                <c:pt idx="1">
                  <c:v>78</c:v>
                </c:pt>
                <c:pt idx="2">
                  <c:v>34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F-431A-8263-6142343CC7EC}"/>
            </c:ext>
          </c:extLst>
        </c:ser>
        <c:ser>
          <c:idx val="1"/>
          <c:order val="1"/>
          <c:tx>
            <c:strRef>
              <c:f>[1]Charts!$C$108</c:f>
              <c:strCache>
                <c:ptCount val="1"/>
                <c:pt idx="0">
                  <c:v>Memory %</c:v>
                </c:pt>
              </c:strCache>
            </c:strRef>
          </c:tx>
          <c:spPr>
            <a:gradFill>
              <a:gsLst>
                <a:gs pos="0">
                  <a:srgbClr val="8F3B39"/>
                </a:gs>
                <a:gs pos="80000">
                  <a:srgbClr val="BA4D4A"/>
                </a:gs>
                <a:gs pos="100000">
                  <a:srgbClr val="BA4D4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[1]Charts!$A$109:$A$112</c:f>
              <c:strCache>
                <c:ptCount val="4"/>
                <c:pt idx="0">
                  <c:v>Oracle</c:v>
                </c:pt>
                <c:pt idx="1">
                  <c:v>MySQL</c:v>
                </c:pt>
                <c:pt idx="2">
                  <c:v>MS SQL Server</c:v>
                </c:pt>
                <c:pt idx="3">
                  <c:v>PostgreSQL</c:v>
                </c:pt>
              </c:strCache>
            </c:strRef>
          </c:cat>
          <c:val>
            <c:numRef>
              <c:f>[1]Charts!$C$109:$C$112</c:f>
              <c:numCache>
                <c:formatCode>General</c:formatCode>
                <c:ptCount val="4"/>
                <c:pt idx="0">
                  <c:v>62</c:v>
                </c:pt>
                <c:pt idx="1">
                  <c:v>85</c:v>
                </c:pt>
                <c:pt idx="2">
                  <c:v>41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BF-431A-8263-6142343CC7EC}"/>
            </c:ext>
          </c:extLst>
        </c:ser>
        <c:ser>
          <c:idx val="2"/>
          <c:order val="2"/>
          <c:tx>
            <c:strRef>
              <c:f>[1]Charts!$D$108</c:f>
              <c:strCache>
                <c:ptCount val="1"/>
                <c:pt idx="0">
                  <c:v>Disk %</c:v>
                </c:pt>
              </c:strCache>
            </c:strRef>
          </c:tx>
          <c:spPr>
            <a:gradFill>
              <a:gsLst>
                <a:gs pos="0">
                  <a:srgbClr val="738B42"/>
                </a:gs>
                <a:gs pos="80000">
                  <a:srgbClr val="96B556"/>
                </a:gs>
                <a:gs pos="100000">
                  <a:srgbClr val="96B656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[1]Charts!$A$109:$A$112</c:f>
              <c:strCache>
                <c:ptCount val="4"/>
                <c:pt idx="0">
                  <c:v>Oracle</c:v>
                </c:pt>
                <c:pt idx="1">
                  <c:v>MySQL</c:v>
                </c:pt>
                <c:pt idx="2">
                  <c:v>MS SQL Server</c:v>
                </c:pt>
                <c:pt idx="3">
                  <c:v>PostgreSQL</c:v>
                </c:pt>
              </c:strCache>
            </c:strRef>
          </c:cat>
          <c:val>
            <c:numRef>
              <c:f>[1]Charts!$D$109:$D$112</c:f>
              <c:numCache>
                <c:formatCode>General</c:formatCode>
                <c:ptCount val="4"/>
                <c:pt idx="0">
                  <c:v>55</c:v>
                </c:pt>
                <c:pt idx="1">
                  <c:v>72</c:v>
                </c:pt>
                <c:pt idx="2">
                  <c:v>38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BF-431A-8263-6142343CC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7055834"/>
        <c:axId val="97106547"/>
      </c:barChart>
      <c:catAx>
        <c:axId val="970558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1F497D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1F497D"/>
                    </a:solidFill>
                    <a:latin typeface="Calibri"/>
                  </a:rPr>
                  <a:t>Server</a:t>
                </a:r>
              </a:p>
            </c:rich>
          </c:tx>
          <c:layout>
            <c:manualLayout>
              <c:xMode val="edge"/>
              <c:yMode val="edge"/>
              <c:x val="2.7702309334368298E-2"/>
              <c:y val="0.88831948003249805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D4E3F4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97106547"/>
        <c:crosses val="autoZero"/>
        <c:auto val="1"/>
        <c:lblAlgn val="ctr"/>
        <c:lblOffset val="100"/>
        <c:noMultiLvlLbl val="0"/>
      </c:catAx>
      <c:valAx>
        <c:axId val="97106547"/>
        <c:scaling>
          <c:orientation val="minMax"/>
        </c:scaling>
        <c:delete val="0"/>
        <c:axPos val="l"/>
        <c:majorGridlines>
          <c:spPr>
            <a:ln w="9360">
              <a:solidFill>
                <a:srgbClr val="D4E3F4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en-US" sz="900" b="1" strike="noStrike" spc="-1">
                    <a:solidFill>
                      <a:srgbClr val="1F497D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1F497D"/>
                    </a:solidFill>
                    <a:latin typeface="Calibri"/>
                  </a:rPr>
                  <a:t>Percentage %</a:t>
                </a:r>
              </a:p>
            </c:rich>
          </c:tx>
          <c:layout>
            <c:manualLayout>
              <c:xMode val="edge"/>
              <c:yMode val="edge"/>
              <c:x val="3.09528430040753E-2"/>
              <c:y val="4.8121992375476499E-2"/>
            </c:manualLayout>
          </c:layout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97055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6946467813263999"/>
          <c:y val="0.95307698943414498"/>
          <c:w val="0.24742371932028201"/>
          <c:h val="4.6923010565855003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F497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4E3F4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10243E"/>
                </a:solidFill>
                <a:latin typeface="Bookman Old Style"/>
              </a:defRPr>
            </a:pPr>
            <a:r>
              <a:rPr lang="en-US" sz="1800" b="1" strike="noStrike" spc="-1">
                <a:solidFill>
                  <a:srgbClr val="10243E"/>
                </a:solidFill>
                <a:latin typeface="Bookman Old Style"/>
              </a:rPr>
              <a:t>Database Restore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[1]Charts!$E$100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invertIfNegative val="1"/>
            <c:bubble3D val="0"/>
            <c:spPr>
              <a:gradFill>
                <a:gsLst>
                  <a:gs pos="0">
                    <a:srgbClr val="2E5F99"/>
                  </a:gs>
                  <a:gs pos="80000">
                    <a:srgbClr val="3C7AC7"/>
                  </a:gs>
                  <a:gs pos="100000">
                    <a:srgbClr val="397BCA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474-44FC-8D03-BBD80E94EFA0}"/>
              </c:ext>
            </c:extLst>
          </c:dPt>
          <c:dPt>
            <c:idx val="1"/>
            <c:invertIfNegative val="1"/>
            <c:bubble3D val="0"/>
            <c:spPr>
              <a:gradFill>
                <a:gsLst>
                  <a:gs pos="0">
                    <a:srgbClr val="9C2F2C"/>
                  </a:gs>
                  <a:gs pos="80000">
                    <a:srgbClr val="CB3D39"/>
                  </a:gs>
                  <a:gs pos="100000">
                    <a:srgbClr val="CE3A36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474-44FC-8D03-BBD80E94EFA0}"/>
              </c:ext>
            </c:extLst>
          </c:dPt>
          <c:dPt>
            <c:idx val="2"/>
            <c:invertIfNegative val="1"/>
            <c:bubble3D val="0"/>
            <c:spPr>
              <a:gradFill>
                <a:gsLst>
                  <a:gs pos="0">
                    <a:srgbClr val="779637"/>
                  </a:gs>
                  <a:gs pos="80000">
                    <a:srgbClr val="9BC348"/>
                  </a:gs>
                  <a:gs pos="100000">
                    <a:srgbClr val="9CC745"/>
                  </a:gs>
                </a:gsLst>
                <a:lin ang="16200000"/>
              </a:gra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474-44FC-8D03-BBD80E94EF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74-44FC-8D03-BBD80E94EF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74-44FC-8D03-BBD80E94EFA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74-44FC-8D03-BBD80E94E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[1]Charts!$D$101:$D$103</c:f>
              <c:strCache>
                <c:ptCount val="3"/>
                <c:pt idx="0">
                  <c:v>Success</c:v>
                </c:pt>
                <c:pt idx="1">
                  <c:v>Failed</c:v>
                </c:pt>
                <c:pt idx="2">
                  <c:v>Running</c:v>
                </c:pt>
              </c:strCache>
            </c:strRef>
          </c:cat>
          <c:val>
            <c:numRef>
              <c:f>[1]Charts!$E$101:$E$103</c:f>
              <c:numCache>
                <c:formatCode>General</c:formatCode>
                <c:ptCount val="3"/>
                <c:pt idx="0">
                  <c:v>11</c:v>
                </c:pt>
                <c:pt idx="1">
                  <c:v>12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74-44FC-8D03-BBD80E94E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429328"/>
        <c:axId val="33289674"/>
      </c:barChart>
      <c:catAx>
        <c:axId val="9542932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D4E3F4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33289674"/>
        <c:crosses val="autoZero"/>
        <c:auto val="1"/>
        <c:lblAlgn val="ctr"/>
        <c:lblOffset val="100"/>
        <c:noMultiLvlLbl val="0"/>
      </c:catAx>
      <c:valAx>
        <c:axId val="33289674"/>
        <c:scaling>
          <c:orientation val="minMax"/>
        </c:scaling>
        <c:delete val="0"/>
        <c:axPos val="b"/>
        <c:majorGridlines>
          <c:spPr>
            <a:ln w="9360">
              <a:solidFill>
                <a:srgbClr val="D4E3F4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954293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F497D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4E3F4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600" b="1" strike="noStrike" spc="-1">
                <a:solidFill>
                  <a:srgbClr val="1F497D"/>
                </a:solidFill>
                <a:latin typeface="Bookman Old Style"/>
              </a:defRPr>
            </a:pPr>
            <a:r>
              <a:rPr lang="en-US" sz="1600" b="1" strike="noStrike" spc="-1">
                <a:solidFill>
                  <a:srgbClr val="1F497D"/>
                </a:solidFill>
                <a:latin typeface="Bookman Old Style"/>
              </a:rPr>
              <a:t>Monthly Database Availability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23378759398496E-2"/>
          <c:y val="0.10577139007410701"/>
          <c:w val="0.93547344924812004"/>
          <c:h val="0.76487761059959603"/>
        </c:manualLayout>
      </c:layout>
      <c:lineChart>
        <c:grouping val="standard"/>
        <c:varyColors val="0"/>
        <c:ser>
          <c:idx val="0"/>
          <c:order val="0"/>
          <c:tx>
            <c:strRef>
              <c:f>[1]Charts!$A$128</c:f>
              <c:strCache>
                <c:ptCount val="1"/>
                <c:pt idx="0">
                  <c:v>Availability %</c:v>
                </c:pt>
              </c:strCache>
            </c:strRef>
          </c:tx>
          <c:spPr>
            <a:ln w="31680" cap="rnd">
              <a:solidFill>
                <a:srgbClr val="C0504D"/>
              </a:solidFill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1292-4BD2-B597-AC04CF9824F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1292-4BD2-B597-AC04CF9824F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1292-4BD2-B597-AC04CF9824F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1292-4BD2-B597-AC04CF9824F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1292-4BD2-B597-AC04CF9824F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1292-4BD2-B597-AC04CF9824F6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6-1292-4BD2-B597-AC04CF9824F6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292-4BD2-B597-AC04CF9824F6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292-4BD2-B597-AC04CF9824F6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292-4BD2-B597-AC04CF9824F6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292-4BD2-B597-AC04CF9824F6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292-4BD2-B597-AC04CF9824F6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292-4BD2-B597-AC04CF9824F6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800" b="0" strike="noStrike" spc="-1">
                      <a:solidFill>
                        <a:srgbClr val="10243E"/>
                      </a:solidFill>
                      <a:latin typeface="Bookman Old Style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292-4BD2-B597-AC04CF9824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0" strike="noStrike" spc="-1">
                    <a:solidFill>
                      <a:srgbClr val="10243E"/>
                    </a:solidFill>
                    <a:latin typeface="Bookman Old Style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[1]Charts!$B$127:$M$127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[1]Charts!$B$128:$M$128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99.581850000000003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1292-4BD2-B597-AC04CF9824F6}"/>
            </c:ext>
          </c:extLst>
        </c:ser>
        <c:ser>
          <c:idx val="1"/>
          <c:order val="1"/>
          <c:tx>
            <c:strRef>
              <c:f>[1]Charts!$A$129</c:f>
              <c:strCache>
                <c:ptCount val="1"/>
                <c:pt idx="0">
                  <c:v>SLA Target %</c:v>
                </c:pt>
              </c:strCache>
            </c:strRef>
          </c:tx>
          <c:spPr>
            <a:ln w="31680" cap="rnd">
              <a:solidFill>
                <a:srgbClr val="8064A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[1]Charts!$B$127:$M$127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[1]Charts!$B$129:$M$129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99.9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1292-4BD2-B597-AC04CF982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8805059"/>
        <c:axId val="49886815"/>
      </c:lineChart>
      <c:catAx>
        <c:axId val="588050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900" b="1" strike="noStrike" spc="-1">
                    <a:solidFill>
                      <a:srgbClr val="1F497D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1F497D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9360">
            <a:solidFill>
              <a:srgbClr val="D4E3F4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49886815"/>
        <c:crosses val="autoZero"/>
        <c:auto val="1"/>
        <c:lblAlgn val="ctr"/>
        <c:lblOffset val="100"/>
        <c:noMultiLvlLbl val="0"/>
      </c:catAx>
      <c:valAx>
        <c:axId val="49886815"/>
        <c:scaling>
          <c:orientation val="minMax"/>
        </c:scaling>
        <c:delete val="0"/>
        <c:axPos val="l"/>
        <c:majorGridlines>
          <c:spPr>
            <a:ln w="9360">
              <a:solidFill>
                <a:srgbClr val="D4E3F4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900" b="1" strike="noStrike" spc="-1">
                    <a:solidFill>
                      <a:srgbClr val="1F497D"/>
                    </a:solidFill>
                    <a:latin typeface="Calibri"/>
                  </a:defRPr>
                </a:pPr>
                <a:r>
                  <a:rPr lang="en-US" sz="900" b="1" strike="noStrike" spc="-1">
                    <a:solidFill>
                      <a:srgbClr val="1F497D"/>
                    </a:solidFill>
                    <a:latin typeface="Calibri"/>
                  </a:rPr>
                  <a:t>Availability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1F497D"/>
                </a:solidFill>
                <a:latin typeface="Calibri"/>
              </a:defRPr>
            </a:pPr>
            <a:endParaRPr lang="en-US"/>
          </a:p>
        </c:txPr>
        <c:crossAx val="588050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F497D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4E3F4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116640</xdr:colOff>
      <xdr:row>34</xdr:row>
      <xdr:rowOff>54360</xdr:rowOff>
    </xdr:from>
    <xdr:to>
      <xdr:col>1</xdr:col>
      <xdr:colOff>967890</xdr:colOff>
      <xdr:row>58</xdr:row>
      <xdr:rowOff>135660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81A5B0F-0D29-48A9-BCC5-EABFF911CC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354600</xdr:colOff>
      <xdr:row>9</xdr:row>
      <xdr:rowOff>71280</xdr:rowOff>
    </xdr:from>
    <xdr:to>
      <xdr:col>20</xdr:col>
      <xdr:colOff>171885</xdr:colOff>
      <xdr:row>43</xdr:row>
      <xdr:rowOff>1800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F34EED-F0DA-4839-A6C7-AE3E245C2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594720</xdr:colOff>
      <xdr:row>34</xdr:row>
      <xdr:rowOff>77040</xdr:rowOff>
    </xdr:from>
    <xdr:to>
      <xdr:col>9</xdr:col>
      <xdr:colOff>439770</xdr:colOff>
      <xdr:row>59</xdr:row>
      <xdr:rowOff>840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11F8EF5-1EF3-4ED3-A5EB-B3C393514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151200</xdr:colOff>
      <xdr:row>3</xdr:row>
      <xdr:rowOff>115560</xdr:rowOff>
    </xdr:from>
    <xdr:to>
      <xdr:col>9</xdr:col>
      <xdr:colOff>644040</xdr:colOff>
      <xdr:row>31</xdr:row>
      <xdr:rowOff>133365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A7A41C-75B7-4552-AED9-E79DF30677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hley.atim\Downloads\DBA_Operations_Uptime_Tracker_FIXED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s"/>
      <sheetName val="Dashboard"/>
      <sheetName val="Incident Register"/>
      <sheetName val="Replication Monitor"/>
      <sheetName val="Backup &amp; Recovery"/>
      <sheetName val="Server Health"/>
      <sheetName val="Availability Calculator"/>
      <sheetName val="Maintenance Register"/>
      <sheetName val="Capacity Planning"/>
    </sheetNames>
    <sheetDataSet>
      <sheetData sheetId="0">
        <row r="100">
          <cell r="B100" t="str">
            <v>Count</v>
          </cell>
          <cell r="E100" t="str">
            <v>Count</v>
          </cell>
        </row>
        <row r="101">
          <cell r="A101" t="str">
            <v>Critical</v>
          </cell>
          <cell r="B101">
            <v>2</v>
          </cell>
          <cell r="D101" t="str">
            <v>Success</v>
          </cell>
          <cell r="E101">
            <v>11</v>
          </cell>
        </row>
        <row r="102">
          <cell r="A102" t="str">
            <v>High</v>
          </cell>
          <cell r="B102">
            <v>3</v>
          </cell>
          <cell r="D102" t="str">
            <v>Failed</v>
          </cell>
          <cell r="E102">
            <v>12</v>
          </cell>
        </row>
        <row r="103">
          <cell r="A103" t="str">
            <v>Medium</v>
          </cell>
          <cell r="B103">
            <v>2</v>
          </cell>
          <cell r="D103" t="str">
            <v>Running</v>
          </cell>
          <cell r="E103">
            <v>0</v>
          </cell>
        </row>
        <row r="104">
          <cell r="A104" t="str">
            <v>Low</v>
          </cell>
          <cell r="B104">
            <v>1</v>
          </cell>
        </row>
        <row r="108">
          <cell r="B108" t="str">
            <v>CPU %</v>
          </cell>
          <cell r="C108" t="str">
            <v>Memory %</v>
          </cell>
          <cell r="D108" t="str">
            <v>Disk %</v>
          </cell>
        </row>
        <row r="109">
          <cell r="A109" t="str">
            <v>Oracle</v>
          </cell>
          <cell r="B109">
            <v>45</v>
          </cell>
          <cell r="C109">
            <v>62</v>
          </cell>
          <cell r="D109">
            <v>55</v>
          </cell>
        </row>
        <row r="110">
          <cell r="A110" t="str">
            <v>MySQL</v>
          </cell>
          <cell r="B110">
            <v>78</v>
          </cell>
          <cell r="C110">
            <v>85</v>
          </cell>
          <cell r="D110">
            <v>72</v>
          </cell>
        </row>
        <row r="111">
          <cell r="A111" t="str">
            <v>MS SQL Server</v>
          </cell>
          <cell r="B111">
            <v>34</v>
          </cell>
          <cell r="C111">
            <v>41</v>
          </cell>
          <cell r="D111">
            <v>38</v>
          </cell>
        </row>
        <row r="112">
          <cell r="A112" t="str">
            <v>PostgreSQL</v>
          </cell>
          <cell r="B112">
            <v>0</v>
          </cell>
          <cell r="C112">
            <v>0</v>
          </cell>
          <cell r="D112">
            <v>0</v>
          </cell>
        </row>
        <row r="127">
          <cell r="B127" t="str">
            <v>Jan</v>
          </cell>
          <cell r="C127" t="str">
            <v>Feb</v>
          </cell>
          <cell r="D127" t="str">
            <v>Mar</v>
          </cell>
          <cell r="E127" t="str">
            <v>Apr</v>
          </cell>
          <cell r="F127" t="str">
            <v>May</v>
          </cell>
          <cell r="G127" t="str">
            <v>Jun</v>
          </cell>
          <cell r="H127" t="str">
            <v>Jul</v>
          </cell>
          <cell r="I127" t="str">
            <v>Aug</v>
          </cell>
          <cell r="J127" t="str">
            <v>Sep</v>
          </cell>
          <cell r="K127" t="str">
            <v>Oct</v>
          </cell>
          <cell r="L127" t="str">
            <v>Nov</v>
          </cell>
          <cell r="M127" t="str">
            <v>Dec</v>
          </cell>
        </row>
        <row r="128">
          <cell r="A128" t="str">
            <v>Availability %</v>
          </cell>
          <cell r="B128" t="str">
            <v>No Data</v>
          </cell>
          <cell r="C128" t="str">
            <v>No Data</v>
          </cell>
          <cell r="D128" t="str">
            <v>No Data</v>
          </cell>
          <cell r="E128" t="str">
            <v>No Data</v>
          </cell>
          <cell r="F128" t="str">
            <v>No Data</v>
          </cell>
          <cell r="G128" t="str">
            <v>No Data</v>
          </cell>
          <cell r="H128">
            <v>99.581850000000003</v>
          </cell>
          <cell r="I128" t="str">
            <v>No Data</v>
          </cell>
          <cell r="J128" t="str">
            <v>No Data</v>
          </cell>
          <cell r="K128" t="str">
            <v>No Data</v>
          </cell>
          <cell r="L128" t="str">
            <v>No Data</v>
          </cell>
          <cell r="M128" t="str">
            <v>No Data</v>
          </cell>
        </row>
        <row r="129">
          <cell r="A129" t="str">
            <v>SLA Target %</v>
          </cell>
          <cell r="B129" t="str">
            <v>No Data</v>
          </cell>
          <cell r="C129" t="str">
            <v>No Data</v>
          </cell>
          <cell r="D129" t="str">
            <v>No Data</v>
          </cell>
          <cell r="E129" t="str">
            <v>No Data</v>
          </cell>
          <cell r="F129" t="str">
            <v>No Data</v>
          </cell>
          <cell r="G129" t="str">
            <v>No Data</v>
          </cell>
          <cell r="H129">
            <v>99.9</v>
          </cell>
          <cell r="I129" t="str">
            <v>No Data</v>
          </cell>
          <cell r="J129" t="str">
            <v>No Data</v>
          </cell>
          <cell r="K129" t="str">
            <v>No Data</v>
          </cell>
          <cell r="L129" t="str">
            <v>No Data</v>
          </cell>
          <cell r="M129" t="str">
            <v>No Data</v>
          </cell>
        </row>
      </sheetData>
      <sheetData sheetId="1">
        <row r="2">
          <cell r="B2" t="str">
            <v>All Databases</v>
          </cell>
        </row>
      </sheetData>
      <sheetData sheetId="2">
        <row r="1">
          <cell r="B1" t="str">
            <v>Date</v>
          </cell>
        </row>
      </sheetData>
      <sheetData sheetId="3">
        <row r="1">
          <cell r="F1" t="str">
            <v>Seconds Behind</v>
          </cell>
        </row>
      </sheetData>
      <sheetData sheetId="4">
        <row r="1">
          <cell r="A1" t="str">
            <v>Record Type</v>
          </cell>
        </row>
      </sheetData>
      <sheetData sheetId="5">
        <row r="1">
          <cell r="C1" t="str">
            <v>CPU %</v>
          </cell>
          <cell r="E1" t="str">
            <v>Disk %</v>
          </cell>
          <cell r="L1" t="str">
            <v>Database</v>
          </cell>
        </row>
        <row r="2">
          <cell r="E2">
            <v>55</v>
          </cell>
          <cell r="L2" t="str">
            <v>Oracle</v>
          </cell>
        </row>
        <row r="3">
          <cell r="E3">
            <v>72</v>
          </cell>
          <cell r="L3" t="str">
            <v>MySQL</v>
          </cell>
        </row>
        <row r="4">
          <cell r="E4">
            <v>50</v>
          </cell>
          <cell r="L4" t="str">
            <v>Oracle</v>
          </cell>
        </row>
        <row r="5">
          <cell r="E5">
            <v>38</v>
          </cell>
          <cell r="L5" t="str">
            <v>MS SQL Server</v>
          </cell>
        </row>
      </sheetData>
      <sheetData sheetId="6">
        <row r="1">
          <cell r="A1" t="str">
            <v>Month-Year</v>
          </cell>
        </row>
      </sheetData>
      <sheetData sheetId="7">
        <row r="1">
          <cell r="A1" t="str">
            <v>Date</v>
          </cell>
        </row>
      </sheetData>
      <sheetData sheetId="8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088B970-4D99-45A7-A31E-FCF884B9A2EC}" autoFormatId="16" applyNumberFormats="0" applyBorderFormats="0" applyFontFormats="0" applyPatternFormats="0" applyAlignmentFormats="0" applyWidthHeightFormats="0">
  <queryTableRefresh nextId="14">
    <queryTableFields count="13">
      <queryTableField id="1" name="Ticket" tableColumnId="1"/>
      <queryTableField id="2" name="Date" tableColumnId="2"/>
      <queryTableField id="3" name="Start" tableColumnId="3"/>
      <queryTableField id="4" name="End" tableColumnId="4"/>
      <queryTableField id="5" name="Duration (hrs)" tableColumnId="5"/>
      <queryTableField id="6" name="Planned" tableColumnId="6"/>
      <queryTableField id="7" name="Severity" tableColumnId="7"/>
      <queryTableField id="8" name="System" tableColumnId="8"/>
      <queryTableField id="9" name="Root Cause" tableColumnId="9"/>
      <queryTableField id="10" name="Business Impact" tableColumnId="10"/>
      <queryTableField id="11" name="Resolved By" tableColumnId="11"/>
      <queryTableField id="12" name="Status" tableColumnId="12"/>
      <queryTableField id="13" name="Databas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D43B8363-A4F8-425A-876E-DA1EDBB72BBB}" autoFormatId="16" applyNumberFormats="0" applyBorderFormats="0" applyFontFormats="0" applyPatternFormats="0" applyAlignmentFormats="0" applyWidthHeightFormats="0">
  <queryTableRefresh nextId="11">
    <queryTableFields count="10">
      <queryTableField id="1" name="Check Date" tableColumnId="1"/>
      <queryTableField id="2" name="Master" tableColumnId="2"/>
      <queryTableField id="3" name="Replica" tableColumnId="3"/>
      <queryTableField id="4" name="IO Thread" tableColumnId="4"/>
      <queryTableField id="5" name="SQL Thread" tableColumnId="5"/>
      <queryTableField id="6" name="Seconds Behind" tableColumnId="6"/>
      <queryTableField id="7" name="Last Error" tableColumnId="7"/>
      <queryTableField id="8" name="Stored Status" tableColumnId="8"/>
      <queryTableField id="9" name="Database" tableColumnId="9"/>
      <queryTableField id="10" name="Severity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2759B75-E23C-469A-8DD0-4157AD6B889C}" autoFormatId="16" applyNumberFormats="0" applyBorderFormats="0" applyFontFormats="0" applyPatternFormats="0" applyAlignmentFormats="0" applyWidthHeightFormats="0">
  <queryTableRefresh nextId="22">
    <queryTableFields count="16">
      <queryTableField id="2" name="record_type" tableColumnId="2"/>
      <queryTableField id="3" name="database" tableColumnId="3"/>
      <queryTableField id="4" name="date" tableColumnId="4"/>
      <queryTableField id="5" name="database_instance" tableColumnId="5"/>
      <queryTableField id="6" name="backup_type" tableColumnId="6"/>
      <queryTableField id="7" name="backup_used" tableColumnId="7"/>
      <queryTableField id="8" name="start" tableColumnId="8"/>
      <queryTableField id="9" name="end" tableColumnId="9"/>
      <queryTableField id="10" name="duration_mins" tableColumnId="10"/>
      <queryTableField id="11" name="outcome" tableColumnId="11"/>
      <queryTableField id="12" name="location" tableColumnId="12"/>
      <queryTableField id="13" name="verified" tableColumnId="13"/>
      <queryTableField id="14" name="restore_tested" tableColumnId="14"/>
      <queryTableField id="15" name="compression" tableColumnId="15"/>
      <queryTableField id="16" name="retention" tableColumnId="16"/>
      <queryTableField id="18" name="comments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FEE77A9C-6FBA-4B32-80E1-735B05CE8FA8}" autoFormatId="16" applyNumberFormats="0" applyBorderFormats="0" applyFontFormats="0" applyPatternFormats="0" applyAlignmentFormats="0" applyWidthHeightFormats="0">
  <queryTableRefresh nextId="13">
    <queryTableFields count="12">
      <queryTableField id="1" name="Check Date" tableColumnId="1"/>
      <queryTableField id="2" name="Server" tableColumnId="2"/>
      <queryTableField id="3" name="CPU %" tableColumnId="3"/>
      <queryTableField id="4" name="Memory %" tableColumnId="4"/>
      <queryTableField id="5" name="Disk %" tableColumnId="5"/>
      <queryTableField id="6" name="Tablespace %" tableColumnId="6"/>
      <queryTableField id="7" name="Connections" tableColumnId="7"/>
      <queryTableField id="8" name="Slow Queries" tableColumnId="8"/>
      <queryTableField id="9" name="Threads" tableColumnId="9"/>
      <queryTableField id="10" name="Health Status" tableColumnId="10"/>
      <queryTableField id="11" name="Stored Status" tableColumnId="11"/>
      <queryTableField id="12" name="Databas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773F01-C843-4C9C-A6FC-4486874DEE81}" autoFormatId="16" applyNumberFormats="0" applyBorderFormats="0" applyFontFormats="0" applyPatternFormats="0" applyAlignmentFormats="0" applyWidthHeightFormats="0">
  <queryTableRefresh nextId="12">
    <queryTableFields count="9">
      <queryTableField id="1" name="Month-Year" tableColumnId="1"/>
      <queryTableField id="3" name="Database" tableColumnId="3"/>
      <queryTableField id="4" name="Target Hours" tableColumnId="4"/>
      <queryTableField id="5" name="Hours Achieved" tableColumnId="5"/>
      <queryTableField id="6" name="Planned Downtime (hrs)" tableColumnId="6"/>
      <queryTableField id="7" name="Unplanned Downtime (hrs)" tableColumnId="7"/>
      <queryTableField id="8" name="Availability % (Stored)" tableColumnId="8"/>
      <queryTableField id="9" name="Availability % (Computed)" tableColumnId="9"/>
      <queryTableField id="10" name="SLA %" tableColumnId="10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6E0CD3FD-99A4-4DBA-9B54-DDC7ABE2CC5A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Change ID" tableColumnId="2"/>
      <queryTableField id="3" name="Activity" tableColumnId="3"/>
      <queryTableField id="4" name="Start" tableColumnId="4"/>
      <queryTableField id="5" name="End" tableColumnId="5"/>
      <queryTableField id="6" name="Duration (hrs)" tableColumnId="6"/>
      <queryTableField id="7" name="Risk" tableColumnId="7"/>
      <queryTableField id="8" name="Rollback Plan" tableColumnId="8"/>
      <queryTableField id="9" name="Approved By" tableColumnId="9"/>
      <queryTableField id="10" name="Success" tableColumnId="10"/>
      <queryTableField id="11" name="Database" tableColumnId="1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2E5FE08B-D0C4-4DCD-9C81-46934CB2EA7C}" autoFormatId="16" applyNumberFormats="0" applyBorderFormats="0" applyFontFormats="0" applyPatternFormats="0" applyAlignmentFormats="0" applyWidthHeightFormats="0">
  <queryTableRefresh nextId="8">
    <queryTableFields count="7">
      <queryTableField id="1" name="Month-Year" tableColumnId="1"/>
      <queryTableField id="2" name="Database Size (GB)" tableColumnId="2"/>
      <queryTableField id="3" name="Disk Used %" tableColumnId="3"/>
      <queryTableField id="4" name="Tablespace Used %" tableColumnId="4"/>
      <queryTableField id="5" name="Largest Table" tableColumnId="5"/>
      <queryTableField id="6" name="Growth (GB)" tableColumnId="6"/>
      <queryTableField id="7" name="Databas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B56085-BCB3-4361-B7F8-2AC778A9519B}" name="vw_incident_register" displayName="vw_incident_register" ref="A1:M9" tableType="queryTable" totalsRowShown="0" headerRowDxfId="141">
  <autoFilter ref="A1:M9" xr:uid="{9C4E63A7-9D6D-4B98-A8E9-2305D784443B}"/>
  <tableColumns count="13">
    <tableColumn id="1" xr3:uid="{34C1353E-EAFB-434A-9661-0B6ED8F48524}" uniqueName="1" name="Ticket" queryTableFieldId="1"/>
    <tableColumn id="2" xr3:uid="{FDD28C93-8399-4950-A7BB-0C662EED7BAD}" uniqueName="2" name="Date" queryTableFieldId="2" dataDxfId="119"/>
    <tableColumn id="3" xr3:uid="{AC87AAF8-AFA8-485C-B923-2A74BACBC900}" uniqueName="3" name="Start" queryTableFieldId="3" dataDxfId="118"/>
    <tableColumn id="4" xr3:uid="{C066365D-8DDF-4946-9D3A-062576D4E07F}" uniqueName="4" name="End" queryTableFieldId="4" dataDxfId="117"/>
    <tableColumn id="5" xr3:uid="{F0A4CB4D-33B3-41A9-9D37-F30D6BA97C7A}" uniqueName="5" name="Duration (hrs)" queryTableFieldId="5" dataDxfId="116"/>
    <tableColumn id="6" xr3:uid="{F1570191-1AD3-453D-B530-B10F06A47C16}" uniqueName="6" name="Planned" queryTableFieldId="6"/>
    <tableColumn id="7" xr3:uid="{FA23E5AF-21E7-49E0-ABE2-B358EC48C40A}" uniqueName="7" name="Severity" queryTableFieldId="7"/>
    <tableColumn id="8" xr3:uid="{400AFC21-6584-41FC-9D1F-CC5BF56ABAFE}" uniqueName="8" name="System" queryTableFieldId="8"/>
    <tableColumn id="9" xr3:uid="{7C2DF73D-8DDF-40D5-9286-1C30ADEA2CD5}" uniqueName="9" name="Root Cause" queryTableFieldId="9"/>
    <tableColumn id="10" xr3:uid="{08512494-361E-4B8C-806E-69E437A3E6B2}" uniqueName="10" name="Business Impact" queryTableFieldId="10"/>
    <tableColumn id="11" xr3:uid="{AD2441C3-0B38-4C72-86B4-684E22CA4296}" uniqueName="11" name="Resolved By" queryTableFieldId="11"/>
    <tableColumn id="12" xr3:uid="{A1FC3BC7-FCC3-4983-9632-230201D9894C}" uniqueName="12" name="Status" queryTableFieldId="12"/>
    <tableColumn id="13" xr3:uid="{8BA075FB-CE37-4ADC-A99B-E25071E6E1FC}" uniqueName="13" name="Database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7B8C59-92F7-45CE-A32B-E84A9CE3BDF5}" name="vw_replication_monitor__2" displayName="vw_replication_monitor__2" ref="A1:J31" tableType="queryTable" totalsRowShown="0">
  <autoFilter ref="A1:J31" xr:uid="{642FCE27-B1DE-4C35-8352-A60F024654D5}"/>
  <tableColumns count="10">
    <tableColumn id="1" xr3:uid="{638E6A2E-4BBA-4BB0-8385-D4DB2900D9EF}" uniqueName="1" name="Check Date" queryTableFieldId="1" dataDxfId="115"/>
    <tableColumn id="2" xr3:uid="{682FE312-BEEE-4E72-BCFB-52A3E0FC5889}" uniqueName="2" name="Master" queryTableFieldId="2"/>
    <tableColumn id="3" xr3:uid="{89DD4129-00B6-47A6-A6EF-28B65866ABAC}" uniqueName="3" name="Replica" queryTableFieldId="3"/>
    <tableColumn id="4" xr3:uid="{2795A057-5B5E-4265-858C-44ACC798A0DC}" uniqueName="4" name="IO Thread" queryTableFieldId="4"/>
    <tableColumn id="5" xr3:uid="{85425D56-00D4-4F28-9415-3B334B894427}" uniqueName="5" name="SQL Thread" queryTableFieldId="5"/>
    <tableColumn id="6" xr3:uid="{9106ACE5-15B9-465A-B506-50FB8833A737}" uniqueName="6" name="Seconds Behind" queryTableFieldId="6"/>
    <tableColumn id="7" xr3:uid="{A955F00F-7F15-44AA-803C-0ADBF3B20034}" uniqueName="7" name="Last Error" queryTableFieldId="7"/>
    <tableColumn id="8" xr3:uid="{AA790E41-C02A-4A6F-87C5-D3616E34F2C9}" uniqueName="8" name="Stored Status" queryTableFieldId="8"/>
    <tableColumn id="9" xr3:uid="{2CF6F6A4-5DBD-409C-B118-EAFFD92543BB}" uniqueName="9" name="Database" queryTableFieldId="9"/>
    <tableColumn id="10" xr3:uid="{FB19F07F-E4BB-424A-A4C6-AD541D31633D}" uniqueName="10" name="Severity" queryTableField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1408A-3FDC-4B53-A912-34F9BAFD7DD4}" name="vw_backup_recovery__2" displayName="vw_backup_recovery__2" ref="A1:P25" tableType="queryTable" totalsRowShown="0">
  <autoFilter ref="A1:P25" xr:uid="{3174BF98-3CCE-4376-9881-80C58A9C1CE3}"/>
  <tableColumns count="16">
    <tableColumn id="2" xr3:uid="{9F11555B-F716-4E84-A80F-8C256D7DC47E}" uniqueName="2" name="record_type" queryTableFieldId="2"/>
    <tableColumn id="3" xr3:uid="{89E03FA3-07D5-4D4D-90F2-CB67222271F3}" uniqueName="3" name="database" queryTableFieldId="3"/>
    <tableColumn id="4" xr3:uid="{A4EAFF39-5A9A-46F7-9E8C-C8978097A6FF}" uniqueName="4" name="date" queryTableFieldId="4" dataDxfId="2"/>
    <tableColumn id="5" xr3:uid="{BD35108B-72A5-462A-BA21-F8940090FF57}" uniqueName="5" name="database_instance" queryTableFieldId="5"/>
    <tableColumn id="6" xr3:uid="{4585613E-7884-433A-BEA0-44A8A19B5E43}" uniqueName="6" name="backup_type" queryTableFieldId="6"/>
    <tableColumn id="7" xr3:uid="{D5C6E1B3-8CB5-46D4-AD7B-B4BE53992C5F}" uniqueName="7" name="backup_used" queryTableFieldId="7"/>
    <tableColumn id="8" xr3:uid="{91095B22-9DDC-49F9-B672-AACD72B3ABCA}" uniqueName="8" name="start" queryTableFieldId="8" dataDxfId="1"/>
    <tableColumn id="9" xr3:uid="{776A3C81-46E0-497B-BB1C-4B9B9EF05AD9}" uniqueName="9" name="end" queryTableFieldId="9" dataDxfId="0"/>
    <tableColumn id="10" xr3:uid="{D98C13F4-29E7-40CD-8959-E29D6282CB92}" uniqueName="10" name="duration_mins" queryTableFieldId="10"/>
    <tableColumn id="11" xr3:uid="{DE11CB1B-52E9-4536-8330-C5F6FE4ACA59}" uniqueName="11" name="outcome" queryTableFieldId="11"/>
    <tableColumn id="12" xr3:uid="{CE6CA576-52F4-426B-BF8B-067B5A3A10F3}" uniqueName="12" name="location" queryTableFieldId="12"/>
    <tableColumn id="13" xr3:uid="{541FF944-C7F1-4951-8009-FEC2F15C8A9A}" uniqueName="13" name="verified" queryTableFieldId="13"/>
    <tableColumn id="14" xr3:uid="{CCEEC797-38A0-4D3C-ABAC-FCE151618512}" uniqueName="14" name="restore_tested" queryTableFieldId="14"/>
    <tableColumn id="15" xr3:uid="{D7CBC98D-4314-4A9C-AA07-49B793D75B89}" uniqueName="15" name="compression" queryTableFieldId="15"/>
    <tableColumn id="16" xr3:uid="{75D8A945-06E0-4FC9-85B8-E35D725FF9C6}" uniqueName="16" name="retention" queryTableFieldId="16"/>
    <tableColumn id="18" xr3:uid="{5E8D45D8-8525-4ED2-8AC4-42ADCC28118D}" uniqueName="18" name="comments" queryTableField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DEF765-D834-42C1-A111-1DFEAAEFC2B5}" name="vw_server_health__2" displayName="vw_server_health__2" ref="A1:L26" tableType="queryTable" totalsRowShown="0" headerRowDxfId="140">
  <autoFilter ref="A1:L26" xr:uid="{CFEA69B3-1CB4-41CF-9CC9-76062219E803}"/>
  <tableColumns count="12">
    <tableColumn id="1" xr3:uid="{16E2C3A8-7AF9-486D-B99E-19CD560FBB9F}" uniqueName="1" name="Check Date" queryTableFieldId="1" dataDxfId="114"/>
    <tableColumn id="2" xr3:uid="{2077E5DC-EC3A-4900-9140-3D673EE29B6B}" uniqueName="2" name="Server" queryTableFieldId="2"/>
    <tableColumn id="3" xr3:uid="{439AA069-F695-453A-8220-A34425796AC0}" uniqueName="3" name="CPU %" queryTableFieldId="3"/>
    <tableColumn id="4" xr3:uid="{F097DBF5-70F0-46FF-A5F0-5FDC64BD27E8}" uniqueName="4" name="Memory %" queryTableFieldId="4"/>
    <tableColumn id="5" xr3:uid="{33526D78-716A-41D1-9BF7-A4FBF9EC4E8C}" uniqueName="5" name="Disk %" queryTableFieldId="5"/>
    <tableColumn id="6" xr3:uid="{F7117D99-D970-45D1-9989-4AF41BB5AE87}" uniqueName="6" name="Tablespace %" queryTableFieldId="6"/>
    <tableColumn id="7" xr3:uid="{73904A00-2A05-4EFD-84DD-707488DFD6F8}" uniqueName="7" name="Connections" queryTableFieldId="7"/>
    <tableColumn id="8" xr3:uid="{748080C8-87E4-4140-BD2A-A84D82059DBD}" uniqueName="8" name="Slow Queries" queryTableFieldId="8"/>
    <tableColumn id="9" xr3:uid="{8418F257-A96B-4A0B-95FF-B298E0934B5F}" uniqueName="9" name="Threads" queryTableFieldId="9"/>
    <tableColumn id="10" xr3:uid="{FD39D40C-43ED-4F93-813A-05AEEC531EC1}" uniqueName="10" name="Health Status" queryTableFieldId="10"/>
    <tableColumn id="11" xr3:uid="{E7996B4C-D5CC-4CC0-8A71-3F14604F6E3C}" uniqueName="11" name="Stored Status" queryTableFieldId="11"/>
    <tableColumn id="12" xr3:uid="{912E2195-A557-4BA9-8C3C-D988429831B6}" uniqueName="12" name="Database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293FD0A-4017-4228-A9F7-C0D6CFD64E74}" name="vw_availability_calculator" displayName="vw_availability_calculator" ref="A1:I3" tableType="queryTable" totalsRowShown="0" headerRowDxfId="139" dataDxfId="138">
  <autoFilter ref="A1:I3" xr:uid="{0E0C2495-F7B4-443C-AFEE-981B0C9FE003}"/>
  <tableColumns count="9">
    <tableColumn id="1" xr3:uid="{1B5359EE-2626-40C5-B3CE-A06F75C2F3D6}" uniqueName="1" name="Month-Year" queryTableFieldId="1" dataDxfId="137"/>
    <tableColumn id="3" xr3:uid="{895A87D1-B825-4677-900F-71A79C62E588}" uniqueName="3" name="Database" queryTableFieldId="3" dataDxfId="136"/>
    <tableColumn id="4" xr3:uid="{D963D0AB-8B6D-4F48-82F3-AC2B7CE28803}" uniqueName="4" name="Target Hours" queryTableFieldId="4" dataDxfId="135"/>
    <tableColumn id="5" xr3:uid="{5F66CB21-EA96-4883-8E36-B65042FDE5C5}" uniqueName="5" name="Hours Achieved" queryTableFieldId="5" dataDxfId="134"/>
    <tableColumn id="6" xr3:uid="{07D6184A-8AA4-4E90-80B2-3270B0AB365B}" uniqueName="6" name="Planned Downtime (hrs)" queryTableFieldId="6" dataDxfId="133"/>
    <tableColumn id="7" xr3:uid="{226B3D90-D01D-4875-A987-BBB6997D094D}" uniqueName="7" name="Unplanned Downtime (hrs)" queryTableFieldId="7" dataDxfId="132"/>
    <tableColumn id="8" xr3:uid="{7B35CA8D-C3CD-4887-8D86-02E86043E7B2}" uniqueName="8" name="Availability % (Stored)" queryTableFieldId="8" dataDxfId="131"/>
    <tableColumn id="9" xr3:uid="{72D8BC81-46A8-44F8-9FEC-D2E56292F7B6}" uniqueName="9" name="Availability % (Computed)" queryTableFieldId="9" dataDxfId="130"/>
    <tableColumn id="10" xr3:uid="{95D4F8CF-F253-426B-86C0-410A7250471A}" uniqueName="10" name="SLA %" queryTableFieldId="10" dataDxfId="12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4096DDF-1D6E-42D9-A6F5-BB704801D123}" name="vw_maintenance_register" displayName="vw_maintenance_register" ref="A1:K4" tableType="queryTable" totalsRowShown="0" headerRowDxfId="128" dataDxfId="126" headerRowBorderDxfId="127" tableBorderDxfId="125" totalsRowBorderDxfId="124">
  <autoFilter ref="A1:K4" xr:uid="{59540263-14CB-416C-A879-3E907261FB86}"/>
  <tableColumns count="11">
    <tableColumn id="1" xr3:uid="{AEA678EA-AA7E-4B5A-A0E6-8D61812AE40E}" uniqueName="1" name="Date" queryTableFieldId="1" dataDxfId="113"/>
    <tableColumn id="2" xr3:uid="{9C450189-5215-4BB3-8AF8-A1CE7E01D470}" uniqueName="2" name="Change ID" queryTableFieldId="2" dataDxfId="112"/>
    <tableColumn id="3" xr3:uid="{A40ADBE4-A37B-4E26-B4A4-079BCB7F25D7}" uniqueName="3" name="Activity" queryTableFieldId="3" dataDxfId="111"/>
    <tableColumn id="4" xr3:uid="{135F9F20-4C5A-439F-B4B2-ECCDCF1759FF}" uniqueName="4" name="Start" queryTableFieldId="4" dataDxfId="110"/>
    <tableColumn id="5" xr3:uid="{1E2D2AE7-4216-465B-8440-A86CD0565092}" uniqueName="5" name="End" queryTableFieldId="5" dataDxfId="109"/>
    <tableColumn id="6" xr3:uid="{5CE10ABD-6F4A-4F74-B079-D5FC65191EEF}" uniqueName="6" name="Duration (hrs)" queryTableFieldId="6" dataDxfId="108"/>
    <tableColumn id="7" xr3:uid="{8C46E9DE-8AFB-4D19-9209-7FAB2CCAE820}" uniqueName="7" name="Risk" queryTableFieldId="7" dataDxfId="107"/>
    <tableColumn id="8" xr3:uid="{99217D4E-4013-4050-9EE7-988B6D1AC212}" uniqueName="8" name="Rollback Plan" queryTableFieldId="8"/>
    <tableColumn id="9" xr3:uid="{2114D84B-E6F7-43BD-A91C-5EF89B9BB7AD}" uniqueName="9" name="Approved By" queryTableFieldId="9" dataDxfId="106"/>
    <tableColumn id="10" xr3:uid="{60A74BD5-E595-406A-8388-D1B5B673C50E}" uniqueName="10" name="Success" queryTableFieldId="10" dataDxfId="105"/>
    <tableColumn id="11" xr3:uid="{3EB23D51-2DBF-4409-8596-ECBE6E2990E0}" uniqueName="11" name="Database" queryTableFieldId="11" dataDxfId="10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8730D2-9C4F-46BD-881E-F0F40E9734D1}" name="vw_capacity_planning" displayName="vw_capacity_planning" ref="A1:G2" tableType="queryTable" totalsRowShown="0" headerRowDxfId="123" headerRowBorderDxfId="122" tableBorderDxfId="121" totalsRowBorderDxfId="120">
  <autoFilter ref="A1:G2" xr:uid="{D899F976-2651-4A7B-8DE1-961C1F7056A0}"/>
  <tableColumns count="7">
    <tableColumn id="1" xr3:uid="{1679A330-7884-49E2-89B7-6770DAE36596}" uniqueName="1" name="Month-Year" queryTableFieldId="1" dataDxfId="103"/>
    <tableColumn id="2" xr3:uid="{3CC2FE82-D8EC-44E6-B1DB-BB72B54178FE}" uniqueName="2" name="Database Size (GB)" queryTableFieldId="2" dataDxfId="102"/>
    <tableColumn id="3" xr3:uid="{4265E898-F040-4D33-BA33-6C9B2F93F602}" uniqueName="3" name="Disk Used %" queryTableFieldId="3" dataDxfId="101"/>
    <tableColumn id="4" xr3:uid="{8452FCC3-38EA-468E-A0E2-8DF6517C0ADB}" uniqueName="4" name="Tablespace Used %" queryTableFieldId="4" dataDxfId="100"/>
    <tableColumn id="5" xr3:uid="{4FAD4E07-51C2-4117-9775-F100A9EC6818}" uniqueName="5" name="Largest Table" queryTableFieldId="5" dataDxfId="99"/>
    <tableColumn id="6" xr3:uid="{033285A9-FE00-42FE-BC95-3C6FA57C1590}" uniqueName="6" name="Growth (GB)" queryTableFieldId="6" dataDxfId="98"/>
    <tableColumn id="7" xr3:uid="{92193FE0-A42A-467A-B3D5-6721111D2D98}" uniqueName="7" name="Database" queryTableFieldId="7" dataDxfId="9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"/>
  <sheetViews>
    <sheetView showGridLines="0" zoomScale="85" zoomScaleNormal="107" workbookViewId="0">
      <selection activeCell="H128" sqref="H128"/>
    </sheetView>
  </sheetViews>
  <sheetFormatPr defaultColWidth="8.88671875" defaultRowHeight="13.8" x14ac:dyDescent="0.25"/>
  <cols>
    <col min="1" max="1" width="59.109375" style="92" customWidth="1"/>
    <col min="2" max="2" width="23.77734375" style="92" customWidth="1"/>
    <col min="3" max="20" width="12" style="92" customWidth="1"/>
    <col min="21" max="16384" width="8.88671875" style="92"/>
  </cols>
  <sheetData>
    <row r="1" spans="1:8" s="93" customFormat="1" ht="30" customHeight="1" x14ac:dyDescent="0.25">
      <c r="A1" s="120" t="s">
        <v>0</v>
      </c>
      <c r="B1" s="120"/>
      <c r="C1" s="120"/>
      <c r="D1" s="120"/>
      <c r="E1" s="120"/>
      <c r="F1" s="120"/>
      <c r="G1" s="120"/>
      <c r="H1" s="120"/>
    </row>
    <row r="2" spans="1:8" ht="21.75" customHeight="1" x14ac:dyDescent="0.25">
      <c r="A2" s="107" t="s">
        <v>1</v>
      </c>
      <c r="B2" s="108">
        <f ca="1">NOW()</f>
        <v>46227.37939386574</v>
      </c>
    </row>
    <row r="3" spans="1:8" ht="13.5" customHeight="1" x14ac:dyDescent="0.25"/>
    <row r="4" spans="1:8" ht="13.5" customHeight="1" x14ac:dyDescent="0.25"/>
    <row r="5" spans="1:8" ht="13.5" customHeight="1" x14ac:dyDescent="0.25"/>
    <row r="6" spans="1:8" ht="13.5" customHeight="1" x14ac:dyDescent="0.25"/>
    <row r="7" spans="1:8" ht="13.5" customHeight="1" x14ac:dyDescent="0.25"/>
    <row r="8" spans="1:8" ht="13.5" customHeight="1" x14ac:dyDescent="0.25"/>
    <row r="9" spans="1:8" ht="13.5" customHeight="1" x14ac:dyDescent="0.25"/>
    <row r="10" spans="1:8" ht="13.5" customHeight="1" x14ac:dyDescent="0.25"/>
    <row r="11" spans="1:8" ht="13.5" customHeight="1" x14ac:dyDescent="0.25"/>
    <row r="12" spans="1:8" ht="13.5" customHeight="1" x14ac:dyDescent="0.25"/>
    <row r="13" spans="1:8" ht="13.5" customHeight="1" x14ac:dyDescent="0.25"/>
    <row r="14" spans="1:8" ht="13.5" customHeight="1" x14ac:dyDescent="0.25"/>
    <row r="15" spans="1:8" ht="13.5" customHeight="1" x14ac:dyDescent="0.25"/>
    <row r="16" spans="1:8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27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spans="1:5" ht="13.5" customHeight="1" x14ac:dyDescent="0.25"/>
    <row r="98" spans="1:5" ht="13.5" customHeight="1" x14ac:dyDescent="0.25"/>
    <row r="99" spans="1:5" ht="13.5" customHeight="1" x14ac:dyDescent="0.25"/>
    <row r="100" spans="1:5" ht="13.5" customHeight="1" x14ac:dyDescent="0.25">
      <c r="A100" s="109" t="s">
        <v>2</v>
      </c>
      <c r="B100" s="109" t="s">
        <v>3</v>
      </c>
      <c r="C100" s="109"/>
      <c r="D100" s="109" t="s">
        <v>4</v>
      </c>
      <c r="E100" s="109" t="s">
        <v>3</v>
      </c>
    </row>
    <row r="101" spans="1:5" ht="13.5" customHeight="1" x14ac:dyDescent="0.25">
      <c r="A101" s="109" t="s">
        <v>5</v>
      </c>
      <c r="B101" s="109">
        <f>IF(Dashboard!$B$2="All Databases",COUNTIFS('Incident Register'!$G:$G,"Critical"),COUNTIFS('Incident Register'!$G:$G,"Critical",'Incident Register'!$L:$L,Dashboard!$B$2))</f>
        <v>2</v>
      </c>
      <c r="C101" s="109"/>
      <c r="D101" s="109" t="s">
        <v>6</v>
      </c>
      <c r="E101" s="109">
        <f>IF(Dashboard!$B$2="All Databases",COUNTIFS('Backup &amp; Recovery'!A:A,"Backup",'Backup &amp; Recovery'!K:K,"Success"),COUNTIFS('Backup &amp; Recovery'!A:A,"Backup",'Backup &amp; Recovery'!K:K,"Success",'Backup &amp; Recovery'!B:B,Dashboard!$B$2))</f>
        <v>0</v>
      </c>
    </row>
    <row r="102" spans="1:5" ht="13.5" customHeight="1" x14ac:dyDescent="0.25">
      <c r="A102" s="109" t="s">
        <v>7</v>
      </c>
      <c r="B102" s="109">
        <f>IF(Dashboard!$B$2="All Databases",COUNTIFS('Incident Register'!$G:$G,"High"),COUNTIFS('Incident Register'!$G:$G,"High",'Incident Register'!$L:$L,Dashboard!$B$2))</f>
        <v>3</v>
      </c>
      <c r="C102" s="109"/>
      <c r="D102" s="109" t="s">
        <v>8</v>
      </c>
      <c r="E102" s="109">
        <f>IF(Dashboard!$B$2="All Databases",COUNTIFS('Backup &amp; Recovery'!A:A,"Backup",'Backup &amp; Recovery'!K:K,"Failed"),COUNTIFS('Backup &amp; Recovery'!A:A,"Backup",'Backup &amp; Recovery'!K:K,"Failed",'Backup &amp; Recovery'!B:B,Dashboard!$B$2))</f>
        <v>0</v>
      </c>
    </row>
    <row r="103" spans="1:5" ht="13.5" customHeight="1" x14ac:dyDescent="0.25">
      <c r="A103" s="109" t="s">
        <v>9</v>
      </c>
      <c r="B103" s="109">
        <f>IF(Dashboard!$B$2="All Databases",COUNTIFS('Incident Register'!$G:$G,"Medium"),COUNTIFS('Incident Register'!$G:$G,"Medium",'Incident Register'!$L:$L,Dashboard!$B$2))</f>
        <v>2</v>
      </c>
      <c r="C103" s="109"/>
      <c r="D103" s="109" t="s">
        <v>10</v>
      </c>
      <c r="E103" s="109">
        <f>IF(Dashboard!$B$2="All Databases",COUNTIFS('Backup &amp; Recovery'!A:A,"Backup",'Backup &amp; Recovery'!K:K,"Running"),COUNTIFS('Backup &amp; Recovery'!A:A,"Backup",'Backup &amp; Recovery'!K:K,"Running",'Backup &amp; Recovery'!B:B,Dashboard!$B$2))</f>
        <v>0</v>
      </c>
    </row>
    <row r="104" spans="1:5" ht="13.5" customHeight="1" x14ac:dyDescent="0.25">
      <c r="A104" s="109" t="s">
        <v>11</v>
      </c>
      <c r="B104" s="109">
        <f>IF(Dashboard!$B$2="All Databases",COUNTIFS('Incident Register'!$G:$G,"Low"),COUNTIFS('Incident Register'!$G:$G,"Low",'Incident Register'!$L:$L,Dashboard!$B$2))</f>
        <v>1</v>
      </c>
      <c r="C104" s="109"/>
      <c r="D104" s="109"/>
      <c r="E104" s="109"/>
    </row>
    <row r="107" spans="1:5" ht="13.5" customHeight="1" x14ac:dyDescent="0.25">
      <c r="A107" s="110" t="s">
        <v>12</v>
      </c>
      <c r="B107" s="109"/>
      <c r="C107" s="109"/>
      <c r="D107" s="109"/>
    </row>
    <row r="108" spans="1:5" ht="14.25" customHeight="1" x14ac:dyDescent="0.3">
      <c r="A108" s="111" t="s">
        <v>13</v>
      </c>
      <c r="B108" s="111" t="s">
        <v>14</v>
      </c>
      <c r="C108" s="111" t="s">
        <v>15</v>
      </c>
      <c r="D108" s="111" t="s">
        <v>16</v>
      </c>
    </row>
    <row r="109" spans="1:5" ht="14.25" customHeight="1" x14ac:dyDescent="0.3">
      <c r="A109" s="111" t="s">
        <v>17</v>
      </c>
      <c r="B109" s="111">
        <f>IF(OR(Dashboard!$B$2="All Databases",Dashboard!$B$2="Oracle"),IFERROR(INDEX('Server Health'!$C:$C,MATCH("Oracle",'Server Health'!$L:$L,0)),0),0)</f>
        <v>0</v>
      </c>
      <c r="C109" s="111">
        <f>IF(OR(Dashboard!$B$2="All Databases",Dashboard!$B$2="Oracle"),IFERROR(INDEX('Server Health'!$D:$D,MATCH("Oracle",'Server Health'!$L:$L,0)),0),0)</f>
        <v>0</v>
      </c>
      <c r="D109" s="111">
        <f>IF(OR(Dashboard!$B$2="All Databases",Dashboard!$B$2="Oracle"),IFERROR(INDEX('Server Health'!$E:$E,MATCH("Oracle",'Server Health'!$L:$L,0)),0),0)</f>
        <v>0</v>
      </c>
    </row>
    <row r="110" spans="1:5" ht="14.25" customHeight="1" x14ac:dyDescent="0.3">
      <c r="A110" s="111" t="s">
        <v>18</v>
      </c>
      <c r="B110" s="111">
        <f>IF(OR(Dashboard!$B$2="All Databases",Dashboard!$B$2="MySQL"),IFERROR(INDEX('Server Health'!$C:$C,MATCH("MySQL",'Server Health'!$L:$L,0)),0),0)</f>
        <v>42</v>
      </c>
      <c r="C110" s="111">
        <f>IF(OR(Dashboard!$B$2="All Databases",Dashboard!$B$2="MySQL"),IFERROR(INDEX('Server Health'!$D:$D,MATCH("MySQL",'Server Health'!$L:$L,0)),0),0)</f>
        <v>81.59</v>
      </c>
      <c r="D110" s="111">
        <f>IF(OR(Dashboard!$B$2="All Databases",Dashboard!$B$2="MySQL"),IFERROR(INDEX('Server Health'!$E:$E,MATCH("MySQL",'Server Health'!$L:$L,0)),0),0)</f>
        <v>20</v>
      </c>
    </row>
    <row r="111" spans="1:5" ht="14.25" customHeight="1" x14ac:dyDescent="0.3">
      <c r="A111" s="111" t="s">
        <v>19</v>
      </c>
      <c r="B111" s="111">
        <f>IF(OR(Dashboard!$B$2="All Databases",Dashboard!$B$2="MS SQL Server"),IFERROR(INDEX('Server Health'!$C:$C,MATCH("MS SQL Server",'Server Health'!$L:$L,0)),0),0)</f>
        <v>0</v>
      </c>
      <c r="C111" s="111">
        <f>IF(OR(Dashboard!$B$2="All Databases",Dashboard!$B$2="MS SQL Server"),IFERROR(INDEX('Server Health'!$D:$D,MATCH("MS SQL Server",'Server Health'!$L:$L,0)),0),0)</f>
        <v>0</v>
      </c>
      <c r="D111" s="111">
        <f>IF(OR(Dashboard!$B$2="All Databases",Dashboard!$B$2="MS SQL Server"),IFERROR(INDEX('Server Health'!$E:$E,MATCH("MS SQL Server",'Server Health'!$L:$L,0)),0),0)</f>
        <v>0</v>
      </c>
    </row>
    <row r="112" spans="1:5" ht="13.5" customHeight="1" x14ac:dyDescent="0.3">
      <c r="A112" s="111" t="s">
        <v>172</v>
      </c>
      <c r="B112" s="111">
        <f>IF(OR(Dashboard!$B$2="All Databases",Dashboard!$B$2="PostgreSQL"),IFERROR(INDEX('Server Health'!$C:$C,MATCH("PostgreSQL",'Server Health'!$L:$L,0)),0),0)</f>
        <v>0</v>
      </c>
      <c r="C112" s="111">
        <f>IF(OR(Dashboard!$B$2="All Databases",Dashboard!$B$2="PostgreSQL"),IFERROR(INDEX('Server Health'!$D:$D,MATCH("PostgreSQL",'Server Health'!$L:$L,0)),0),0)</f>
        <v>0</v>
      </c>
      <c r="D112" s="111">
        <f>IF(OR([1]Dashboard!$B$2="All Databases",[1]Dashboard!$B$2="PostgreSQL"),IFERROR(INDEX('[1]Server Health'!$E:$E,MATCH("PostgreSQL",'[1]Server Health'!$L:$L,0)),0),0)</f>
        <v>0</v>
      </c>
    </row>
    <row r="113" spans="1:13" ht="13.5" customHeight="1" x14ac:dyDescent="0.25">
      <c r="A113" s="112"/>
    </row>
    <row r="114" spans="1:13" ht="14.25" customHeight="1" x14ac:dyDescent="0.3">
      <c r="A114" s="113"/>
      <c r="B114" s="113"/>
    </row>
    <row r="115" spans="1:13" ht="14.25" customHeight="1" x14ac:dyDescent="0.25"/>
    <row r="116" spans="1:13" ht="14.25" customHeight="1" x14ac:dyDescent="0.25"/>
    <row r="117" spans="1:13" ht="14.25" customHeight="1" x14ac:dyDescent="0.25"/>
    <row r="119" spans="1:13" ht="13.5" customHeight="1" x14ac:dyDescent="0.25">
      <c r="A119" s="92" t="s">
        <v>22</v>
      </c>
      <c r="E119" s="92" t="str">
        <f>Dashboard!$B$2&amp;" - Current Month Availability vs SLA Target"</f>
        <v>All Databases - Current Month Availability vs SLA Target</v>
      </c>
    </row>
    <row r="120" spans="1:13" ht="13.5" customHeight="1" x14ac:dyDescent="0.3">
      <c r="A120" s="92" t="s">
        <v>13</v>
      </c>
      <c r="B120" s="114" t="s">
        <v>23</v>
      </c>
      <c r="C120" s="114" t="s">
        <v>24</v>
      </c>
      <c r="D120" s="114"/>
      <c r="E120" s="114" t="str">
        <f>Dashboard!$B$2&amp;" - Incidents by Severity"</f>
        <v>All Databases - Incidents by Severity</v>
      </c>
      <c r="F120" s="114"/>
      <c r="G120" s="114"/>
      <c r="H120" s="114"/>
      <c r="I120" s="114"/>
      <c r="J120" s="114"/>
      <c r="K120" s="114"/>
      <c r="L120" s="114"/>
      <c r="M120" s="114"/>
    </row>
    <row r="121" spans="1:13" ht="13.5" customHeight="1" x14ac:dyDescent="0.3">
      <c r="A121" s="92" t="s">
        <v>17</v>
      </c>
      <c r="B121" s="115">
        <f ca="1">IF(OR(Dashboard!$B$2="All Databases",Dashboard!$B$2="Oracle"),IFERROR(AVERAGEIFS('Availability Calculator'!$H:$H,'Availability Calculator'!$B:$B,"Oracle",'Availability Calculator'!$A:$A,TEXT(TODAY(),"YYYY-MM")),0),0)</f>
        <v>99.328000000000003</v>
      </c>
      <c r="C121" s="115">
        <f ca="1">IFERROR(AVERAGEIFS('Availability Calculator'!$I:$I,'Availability Calculator'!$B:$B,"Oracle",'Availability Calculator'!$A:$A,TEXT(TODAY(),"YYYY-MM")),0)</f>
        <v>99.9</v>
      </c>
      <c r="D121" s="115"/>
      <c r="E121" s="115" t="str">
        <f>Dashboard!$B$2&amp;" - Server Resource Utilization"</f>
        <v>All Databases - Server Resource Utilization</v>
      </c>
      <c r="F121" s="115"/>
      <c r="G121" s="115"/>
      <c r="H121" s="115"/>
      <c r="I121" s="116"/>
      <c r="J121" s="116"/>
      <c r="K121" s="116"/>
      <c r="L121" s="116"/>
      <c r="M121" s="116"/>
    </row>
    <row r="122" spans="1:13" ht="13.5" customHeight="1" x14ac:dyDescent="0.3">
      <c r="A122" s="92" t="s">
        <v>18</v>
      </c>
      <c r="B122" s="117">
        <f ca="1">IF(OR(Dashboard!$B$2="All Databases",Dashboard!$B$2="MySQL"),IFERROR(AVERAGEIFS('Availability Calculator'!$H:$H,'Availability Calculator'!$B:$B,"MySQL",'Availability Calculator'!$A:$A,TEXT(TODAY(),"YYYY-MM")),0),0)</f>
        <v>99.298100000000005</v>
      </c>
      <c r="C122" s="115">
        <f ca="1">IFERROR(AVERAGEIFS('Availability Calculator'!$I:$I,'Availability Calculator'!$B:$B,"MySQL",'Availability Calculator'!$A:$A,TEXT(TODAY(),"YYYY-MM")),0)</f>
        <v>99.9</v>
      </c>
      <c r="D122" s="115"/>
      <c r="E122" s="115" t="str">
        <f>Dashboard!$B$2&amp;" - Backup Status"</f>
        <v>All Databases - Backup Status</v>
      </c>
      <c r="F122" s="115"/>
      <c r="G122" s="115"/>
      <c r="H122" s="115"/>
      <c r="I122" s="115"/>
      <c r="J122" s="115"/>
      <c r="K122" s="115"/>
      <c r="L122" s="115"/>
      <c r="M122" s="115"/>
    </row>
    <row r="123" spans="1:13" ht="14.25" customHeight="1" x14ac:dyDescent="0.3">
      <c r="A123" s="92" t="s">
        <v>19</v>
      </c>
      <c r="B123" s="116">
        <f ca="1">IF(OR(Dashboard!$B$2="All Databases",Dashboard!$B$2="MS SQL Server"),IFERROR(AVERAGEIFS('Availability Calculator'!$H:$H,'Availability Calculator'!$B:$B,"MS SQL Server",'Availability Calculator'!$A:$A,TEXT(TODAY(),"YYYY-MM")),0),0)</f>
        <v>0</v>
      </c>
      <c r="C123" s="115">
        <f ca="1">IFERROR(AVERAGEIFS('Availability Calculator'!$I:$I,'Availability Calculator'!$B:$B,"MS SQL Server",'Availability Calculator'!$A:$A,TEXT(TODAY(),"YYYY-MM")),0)</f>
        <v>0</v>
      </c>
      <c r="E123" s="92" t="str">
        <f>Dashboard!$B$2&amp;" - Replication Lag"</f>
        <v>All Databases - Replication Lag</v>
      </c>
    </row>
    <row r="124" spans="1:13" ht="13.5" customHeight="1" x14ac:dyDescent="0.3">
      <c r="A124" s="92" t="s">
        <v>172</v>
      </c>
      <c r="B124" s="116">
        <f ca="1">IF(OR(Dashboard!$B$2="All Databases",Dashboard!$B$2="MS SQL Server"),IFERROR(AVERAGEIFS('Availability Calculator'!$H:$H,'Availability Calculator'!$B:$B,"PostgreSQL",'Availability Calculator'!$A:$A,TEXT(TODAY(),"YYYY-MM")),0),0)</f>
        <v>0</v>
      </c>
      <c r="C124" s="115">
        <f ca="1">IFERROR(AVERAGEIFS('Availability Calculator'!$I:$I,'Availability Calculator'!$B:$B,"PostgreSQL",'Availability Calculator'!$A:$A,TEXT(TODAY(),"YYYY-MM")),0)</f>
        <v>0</v>
      </c>
    </row>
    <row r="125" spans="1:13" ht="13.5" customHeight="1" x14ac:dyDescent="0.25"/>
    <row r="126" spans="1:13" ht="13.5" customHeight="1" x14ac:dyDescent="0.3">
      <c r="A126" s="111" t="s">
        <v>25</v>
      </c>
      <c r="B126" s="109"/>
      <c r="C126" s="109"/>
      <c r="D126" s="109"/>
      <c r="E126" s="109"/>
      <c r="F126" s="111" t="str">
        <f>[1]Dashboard!$B$2&amp;" - Monthly Availability Trend"</f>
        <v>All Databases - Monthly Availability Trend</v>
      </c>
      <c r="G126" s="109"/>
      <c r="H126" s="109"/>
      <c r="I126" s="109"/>
      <c r="J126" s="109"/>
      <c r="K126" s="109"/>
      <c r="L126" s="109"/>
      <c r="M126" s="109"/>
    </row>
    <row r="127" spans="1:13" ht="13.5" customHeight="1" x14ac:dyDescent="0.3">
      <c r="A127" s="111" t="s">
        <v>26</v>
      </c>
      <c r="B127" s="111" t="s">
        <v>158</v>
      </c>
      <c r="C127" s="111" t="s">
        <v>157</v>
      </c>
      <c r="D127" s="111" t="s">
        <v>159</v>
      </c>
      <c r="E127" s="111" t="s">
        <v>160</v>
      </c>
      <c r="F127" s="111" t="s">
        <v>123</v>
      </c>
      <c r="G127" s="111" t="s">
        <v>161</v>
      </c>
      <c r="H127" s="111" t="s">
        <v>162</v>
      </c>
      <c r="I127" s="111" t="s">
        <v>163</v>
      </c>
      <c r="J127" s="111" t="s">
        <v>164</v>
      </c>
      <c r="K127" s="111" t="s">
        <v>165</v>
      </c>
      <c r="L127" s="111" t="s">
        <v>166</v>
      </c>
      <c r="M127" s="111" t="s">
        <v>167</v>
      </c>
    </row>
    <row r="128" spans="1:13" ht="13.5" customHeight="1" x14ac:dyDescent="0.3">
      <c r="A128" s="111" t="s">
        <v>23</v>
      </c>
      <c r="B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C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D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E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F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G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H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I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J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K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L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  <c r="M128" s="111" t="str">
        <f ca="1">IFERROR(IF(Dashboard!$B$2="All Databases",AVERAGEIFS('Availability Calculator'!$H:$H,'Availability Calculator'!$A:$A,TEXT(DATE(YEAR(TODAY()),1,1),"YYYY-MM")),AVERAGEIFS('Availability Calculator'!$H:$H,'Availability Calculator'!$A:$A,TEXT(DATE(YEAR(TODAY()),1,1),"YYYY-MM"),'Availability Calculator'!$B:$B,Dashboard!$B$2)),"No Data")</f>
        <v>No Data</v>
      </c>
    </row>
    <row r="129" spans="1:13" ht="13.5" customHeight="1" x14ac:dyDescent="0.3">
      <c r="A129" s="111" t="s">
        <v>24</v>
      </c>
      <c r="B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C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D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E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F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G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H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I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J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K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L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  <c r="M129" s="118" t="str">
        <f ca="1">IFERROR(IF(Dashboard!$B$2="All Databases",AVERAGEIFS('Availability Calculator'!$I:$I,'Availability Calculator'!$A:$A,TEXT(DATE(YEAR(TODAY()),1,1),"YYYY-MM")),AVERAGEIFS('Availability Calculator'!$I:$I,'Availability Calculator'!$A:$A,TEXT(DATE(YEAR(TODAY()),1,1),"YYYY-MM"),'Availability Calculator'!$B:$B,Dashboard!$B$2)),"No Data")</f>
        <v>No Data</v>
      </c>
    </row>
    <row r="130" spans="1:13" ht="13.5" customHeight="1" x14ac:dyDescent="0.25"/>
    <row r="131" spans="1:13" ht="13.5" customHeight="1" x14ac:dyDescent="0.25"/>
    <row r="132" spans="1:13" ht="13.5" customHeight="1" x14ac:dyDescent="0.25"/>
    <row r="133" spans="1:13" ht="13.5" customHeight="1" x14ac:dyDescent="0.25"/>
    <row r="134" spans="1:13" ht="13.5" customHeight="1" x14ac:dyDescent="0.25"/>
    <row r="135" spans="1:13" ht="13.5" customHeight="1" x14ac:dyDescent="0.25"/>
    <row r="136" spans="1:13" ht="13.5" customHeight="1" x14ac:dyDescent="0.25"/>
    <row r="137" spans="1:13" ht="13.5" customHeight="1" x14ac:dyDescent="0.25"/>
    <row r="138" spans="1:13" ht="13.5" customHeight="1" x14ac:dyDescent="0.25"/>
    <row r="139" spans="1:13" ht="13.5" customHeight="1" x14ac:dyDescent="0.25"/>
    <row r="140" spans="1:13" ht="13.5" customHeight="1" x14ac:dyDescent="0.25"/>
    <row r="141" spans="1:13" ht="13.5" customHeight="1" x14ac:dyDescent="0.25"/>
    <row r="142" spans="1:13" ht="13.5" customHeight="1" x14ac:dyDescent="0.25"/>
    <row r="143" spans="1:13" ht="13.5" customHeight="1" x14ac:dyDescent="0.25"/>
    <row r="144" spans="1:13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</sheetData>
  <mergeCells count="1">
    <mergeCell ref="A1:H1"/>
  </mergeCells>
  <pageMargins left="0.75" right="0.75" top="1" bottom="1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Z37"/>
  <sheetViews>
    <sheetView showGridLines="0" tabSelected="1" zoomScaleNormal="100" workbookViewId="0">
      <selection activeCell="A2" sqref="A2"/>
    </sheetView>
  </sheetViews>
  <sheetFormatPr defaultColWidth="8.6640625" defaultRowHeight="13.8" x14ac:dyDescent="0.25"/>
  <cols>
    <col min="1" max="1" width="20.33203125" style="92" customWidth="1"/>
    <col min="2" max="2" width="16.21875" style="92" customWidth="1"/>
    <col min="3" max="3" width="13.5546875" style="96" customWidth="1"/>
    <col min="4" max="4" width="12.6640625" style="92" customWidth="1"/>
    <col min="5" max="5" width="13" style="92" customWidth="1"/>
    <col min="6" max="6" width="14.44140625" style="96" customWidth="1"/>
    <col min="7" max="8" width="14.44140625" style="92" customWidth="1"/>
    <col min="9" max="9" width="13.77734375" style="92" customWidth="1"/>
    <col min="10" max="10" width="14.33203125" style="92" customWidth="1"/>
    <col min="11" max="11" width="14.6640625" style="92" customWidth="1"/>
    <col min="12" max="12" width="14.33203125" style="92" customWidth="1"/>
    <col min="13" max="13" width="12.21875" style="92" customWidth="1"/>
    <col min="14" max="14" width="15" style="92" customWidth="1"/>
    <col min="15" max="15" width="14.109375" style="92" customWidth="1"/>
    <col min="16" max="16384" width="8.6640625" style="92"/>
  </cols>
  <sheetData>
    <row r="1" spans="1:234" s="93" customFormat="1" ht="24" customHeight="1" x14ac:dyDescent="0.25">
      <c r="A1" s="125" t="s">
        <v>239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N1" s="92"/>
      <c r="CO1" s="92"/>
      <c r="CP1" s="92"/>
      <c r="CQ1" s="92"/>
      <c r="CR1" s="92"/>
      <c r="CS1" s="92"/>
      <c r="CT1" s="92"/>
      <c r="CU1" s="92"/>
      <c r="CV1" s="92"/>
      <c r="CW1" s="92"/>
      <c r="CX1" s="92"/>
      <c r="CY1" s="92"/>
      <c r="CZ1" s="92"/>
      <c r="DA1" s="92"/>
      <c r="DB1" s="92"/>
      <c r="DC1" s="92"/>
      <c r="DD1" s="92"/>
      <c r="DE1" s="92"/>
      <c r="DF1" s="92"/>
      <c r="DG1" s="92"/>
      <c r="DH1" s="92"/>
      <c r="DI1" s="92"/>
      <c r="DJ1" s="92"/>
      <c r="DK1" s="92"/>
      <c r="DL1" s="92"/>
      <c r="DM1" s="92"/>
      <c r="DN1" s="92"/>
      <c r="DO1" s="92"/>
      <c r="DP1" s="92"/>
      <c r="DQ1" s="92"/>
      <c r="DR1" s="92"/>
      <c r="DS1" s="92"/>
      <c r="DT1" s="92"/>
      <c r="DU1" s="92"/>
      <c r="DV1" s="92"/>
      <c r="DW1" s="92"/>
      <c r="DX1" s="92"/>
      <c r="DY1" s="92"/>
      <c r="DZ1" s="92"/>
      <c r="EA1" s="92"/>
      <c r="EB1" s="92"/>
      <c r="EC1" s="92"/>
      <c r="ED1" s="92"/>
      <c r="EE1" s="92"/>
      <c r="EF1" s="92"/>
      <c r="EG1" s="92"/>
      <c r="EH1" s="92"/>
      <c r="EI1" s="92"/>
      <c r="EJ1" s="92"/>
      <c r="EK1" s="92"/>
      <c r="EL1" s="92"/>
      <c r="EM1" s="92"/>
      <c r="EN1" s="92"/>
      <c r="EO1" s="92"/>
      <c r="EP1" s="92"/>
      <c r="EQ1" s="92"/>
      <c r="ER1" s="92"/>
      <c r="ES1" s="92"/>
      <c r="ET1" s="92"/>
      <c r="EU1" s="92"/>
      <c r="EV1" s="92"/>
      <c r="EW1" s="92"/>
      <c r="EX1" s="92"/>
      <c r="EY1" s="92"/>
      <c r="EZ1" s="92"/>
      <c r="FA1" s="92"/>
      <c r="FB1" s="92"/>
      <c r="FC1" s="92"/>
      <c r="FD1" s="92"/>
      <c r="FE1" s="92"/>
      <c r="FF1" s="92"/>
      <c r="FG1" s="92"/>
      <c r="FH1" s="92"/>
      <c r="FI1" s="92"/>
      <c r="FJ1" s="92"/>
      <c r="FK1" s="92"/>
      <c r="FL1" s="92"/>
      <c r="FM1" s="92"/>
      <c r="FN1" s="92"/>
      <c r="FO1" s="92"/>
      <c r="FP1" s="92"/>
      <c r="FQ1" s="92"/>
      <c r="FR1" s="92"/>
      <c r="FS1" s="92"/>
      <c r="FT1" s="92"/>
      <c r="FU1" s="92"/>
      <c r="FV1" s="92"/>
      <c r="FW1" s="92"/>
      <c r="FX1" s="92"/>
      <c r="FY1" s="92"/>
      <c r="FZ1" s="92"/>
      <c r="GA1" s="92"/>
      <c r="GB1" s="92"/>
      <c r="GC1" s="92"/>
      <c r="GD1" s="92"/>
      <c r="GE1" s="92"/>
      <c r="GF1" s="92"/>
      <c r="GG1" s="92"/>
      <c r="GH1" s="92"/>
      <c r="GI1" s="92"/>
      <c r="GJ1" s="92"/>
      <c r="GK1" s="92"/>
      <c r="GL1" s="92"/>
      <c r="GM1" s="92"/>
      <c r="GN1" s="92"/>
      <c r="GO1" s="92"/>
      <c r="GP1" s="92"/>
      <c r="GQ1" s="92"/>
      <c r="GR1" s="92"/>
      <c r="GS1" s="92"/>
      <c r="GT1" s="92"/>
      <c r="GU1" s="92"/>
      <c r="GV1" s="92"/>
      <c r="GW1" s="92"/>
      <c r="GX1" s="92"/>
      <c r="GY1" s="92"/>
      <c r="GZ1" s="92"/>
      <c r="HA1" s="92"/>
      <c r="HB1" s="92"/>
      <c r="HC1" s="92"/>
      <c r="HD1" s="92"/>
      <c r="HE1" s="92"/>
      <c r="HF1" s="92"/>
      <c r="HG1" s="92"/>
      <c r="HH1" s="92"/>
      <c r="HI1" s="92"/>
      <c r="HJ1" s="92"/>
      <c r="HK1" s="92"/>
      <c r="HL1" s="92"/>
      <c r="HM1" s="92"/>
      <c r="HN1" s="92"/>
      <c r="HO1" s="92"/>
      <c r="HP1" s="92"/>
      <c r="HQ1" s="92"/>
      <c r="HR1" s="92"/>
      <c r="HS1" s="92"/>
      <c r="HT1" s="92"/>
      <c r="HU1" s="92"/>
      <c r="HV1" s="92"/>
      <c r="HW1" s="92"/>
      <c r="HX1" s="92"/>
      <c r="HY1" s="92"/>
      <c r="HZ1" s="92"/>
    </row>
    <row r="2" spans="1:234" ht="27" customHeight="1" x14ac:dyDescent="0.3">
      <c r="A2" s="94" t="s">
        <v>27</v>
      </c>
      <c r="B2" s="95" t="s">
        <v>141</v>
      </c>
      <c r="D2" s="123" t="str">
        <f ca="1">IFERROR("Reporting Month: "&amp;TEXT(TODAY(),"MMMM YYYY"),"")</f>
        <v>Reporting Month: July 2026</v>
      </c>
      <c r="E2" s="123"/>
      <c r="F2" s="123"/>
      <c r="G2" s="123"/>
      <c r="H2" s="123"/>
      <c r="I2" s="123"/>
      <c r="J2" s="123"/>
    </row>
    <row r="3" spans="1:234" ht="10.5" customHeight="1" x14ac:dyDescent="0.3">
      <c r="A3" s="94"/>
      <c r="B3" s="95"/>
      <c r="D3" s="97"/>
    </row>
    <row r="4" spans="1:234" ht="15" customHeight="1" x14ac:dyDescent="0.3">
      <c r="A4" s="98" t="s">
        <v>28</v>
      </c>
    </row>
    <row r="5" spans="1:234" ht="10.5" customHeight="1" x14ac:dyDescent="0.25"/>
    <row r="6" spans="1:234" ht="41.25" customHeight="1" x14ac:dyDescent="0.25">
      <c r="A6" s="1" t="s">
        <v>13</v>
      </c>
      <c r="B6" s="1" t="s">
        <v>29</v>
      </c>
      <c r="C6" s="35" t="s">
        <v>30</v>
      </c>
      <c r="D6" s="1" t="s">
        <v>31</v>
      </c>
      <c r="E6" s="1" t="s">
        <v>32</v>
      </c>
      <c r="F6" s="35" t="s">
        <v>33</v>
      </c>
      <c r="G6" s="1" t="s">
        <v>34</v>
      </c>
      <c r="H6" s="1" t="s">
        <v>35</v>
      </c>
      <c r="I6" s="1" t="s">
        <v>36</v>
      </c>
      <c r="J6" s="2" t="s">
        <v>37</v>
      </c>
      <c r="K6" s="3"/>
    </row>
    <row r="7" spans="1:234" ht="20.25" customHeight="1" x14ac:dyDescent="0.25">
      <c r="A7" s="6" t="s">
        <v>17</v>
      </c>
      <c r="B7" s="4">
        <f ca="1">IFERROR(AVERAGEIFS('Availability Calculator'!$H:$H,'Availability Calculator'!$B:$B,$A7,'Availability Calculator'!$A:$A,TEXT(TODAY(),"YYYY-MM")),"No Data")</f>
        <v>99.328000000000003</v>
      </c>
      <c r="C7" s="7">
        <f ca="1">SUMIFS('Maintenance Register'!F:F,'Maintenance Register'!A:A,"&gt;="&amp;DATE(YEAR(TODAY()),MONTH(TODAY()),1),'Maintenance Register'!J:J,$A7)</f>
        <v>0</v>
      </c>
      <c r="D7" s="5">
        <f ca="1">SUMIFS('Incident Register'!E:E,'Incident Register'!B:B,"&gt;="&amp;DATE(YEAR(TODAY()),MONTH(TODAY()),1),'Incident Register'!F:F,"No",'Incident Register'!M:M,$A7)/60</f>
        <v>6.25E-2</v>
      </c>
      <c r="E7" s="6">
        <f ca="1">COUNTIFS('Incident Register'!B:B,"&gt;="&amp;DATE(YEAR(TODAY()),MONTH(TODAY()),1),'Incident Register'!M:M,$A7)</f>
        <v>5</v>
      </c>
      <c r="F7" s="7">
        <f ca="1">IFERROR(AVERAGEIFS('Incident Register'!E:E, 'Incident Register'!M:M, $A7, 'Incident Register'!B:B, "&gt;="&amp;DATE(YEAR(TODAY()), MONTH(TODAY()), 1), 'Incident Register'!B:B, "&lt;="&amp;EOMONTH(TODAY(), 0))*60, "No Data")</f>
        <v>45</v>
      </c>
      <c r="G7" s="8" t="str">
        <f ca="1">IF(COUNTIFS('Backup &amp; Recovery'!A:A,"Backup",'Backup &amp; Recovery'!B:B,$A7,'Backup &amp; Recovery'!C:C,"&gt;="&amp;DATE(YEAR(TODAY()),MONTH(TODAY()),1))=0,"No Data",COUNTIFS('Backup &amp; Recovery'!A:A,"Backup",'Backup &amp; Recovery'!J:J,"Success",'Backup &amp; Recovery'!B:B,$A7,'Backup &amp; Recovery'!C:C,"&gt;="&amp;DATE(YEAR(TODAY()),MONTH(TODAY()),1))/COUNTIFS('Backup &amp; Recovery'!A:A,"Backup",'Backup &amp; Recovery'!B:B,$A7,'Backup &amp; Recovery'!C:C,"&gt;="&amp;DATE(YEAR(TODAY()),MONTH(TODAY()),1))*100)</f>
        <v>No Data</v>
      </c>
      <c r="H7" s="8" t="str">
        <f ca="1">IF(COUNTIFS('Backup &amp; Recovery'!A:A,"Restore Test",'Backup &amp; Recovery'!B:B,$A7,'Backup &amp; Recovery'!C:C,"&gt;="&amp;DATE(YEAR(TODAY()),MONTH(TODAY()),1))=0,"No Data",SUM(COUNTIFS('Backup &amp; Recovery'!A:A,"Restore Test",'Backup &amp; Recovery'!J:J,{"Pass","Success"},'Backup &amp; Recovery'!B:B,$A7,'Backup &amp; Recovery'!C:C,"&gt;="&amp;DATE(YEAR(TODAY()),MONTH(TODAY()),1)))/COUNTIFS('Backup &amp; Recovery'!A:A,"Restore Test",'Backup &amp; Recovery'!B:B,$A7,'Backup &amp; Recovery'!C:C,"&gt;="&amp;DATE(YEAR(TODAY()),MONTH(TODAY()),1))*100)</f>
        <v>No Data</v>
      </c>
      <c r="I7" s="6" t="str">
        <f>IF(COUNTIFS('Replication Monitor'!I:I,$A7)=0,"No Data",IF(COUNTIFS('Replication Monitor'!H:H,"Failed",'Replication Monitor'!I:I,$A7)&gt;0,"Failed",IF(COUNTIFS('Replication Monitor'!H:H,"Degraded",'Replication Monitor'!I:I,$A7)&gt;0,"Degraded","Healthy")))</f>
        <v>No Data</v>
      </c>
      <c r="J7" s="9">
        <f ca="1">COUNTIFS('Backup &amp; Recovery'!A:A,"Backup",'Backup &amp; Recovery'!J:J,"Failed",'Backup &amp; Recovery'!B:B,$A7,'Backup &amp; Recovery'!C:C,"&gt;="&amp;DATE(YEAR(TODAY()),MONTH(TODAY()),1))</f>
        <v>0</v>
      </c>
      <c r="K7" s="10"/>
    </row>
    <row r="8" spans="1:234" ht="18" customHeight="1" x14ac:dyDescent="0.25">
      <c r="A8" s="6" t="s">
        <v>18</v>
      </c>
      <c r="B8" s="4">
        <f ca="1">IFERROR(AVERAGEIFS('Availability Calculator'!$H:$H,'Availability Calculator'!$B:$B,$A8,'Availability Calculator'!$A:$A,TEXT(TODAY(),"YYYY-MM")),"No Data")</f>
        <v>99.298100000000005</v>
      </c>
      <c r="C8" s="7">
        <f ca="1">SUMIFS('Maintenance Register'!F:F,'Maintenance Register'!A:A,"&gt;="&amp;DATE(YEAR(TODAY()),MONTH(TODAY()),1),'Maintenance Register'!J:J,$A8)</f>
        <v>0</v>
      </c>
      <c r="D8" s="5">
        <f ca="1">SUMIFS('Incident Register'!E:E,'Incident Register'!B:B,"&gt;="&amp;DATE(YEAR(TODAY()),MONTH(TODAY()),1),'Incident Register'!F:F,"No",'Incident Register'!M:M,$A8)/60</f>
        <v>6.5278333333333341E-2</v>
      </c>
      <c r="E8" s="6">
        <f ca="1">COUNTIFS('Incident Register'!B:B,"&gt;="&amp;DATE(YEAR(TODAY()),MONTH(TODAY()),1),'Incident Register'!M:M,$A8)</f>
        <v>3</v>
      </c>
      <c r="F8" s="7">
        <f ca="1">IFERROR(AVERAGEIFS('Incident Register'!E:E, 'Incident Register'!M:M, $A8, 'Incident Register'!B:B, "&gt;="&amp;DATE(YEAR(TODAY()), MONTH(TODAY()), 1), 'Incident Register'!B:B, "&lt;="&amp;EOMONTH(TODAY(), 0))*60, "No Data")</f>
        <v>78.334000000000003</v>
      </c>
      <c r="G8" s="8">
        <f ca="1">IF(COUNTIFS('Backup &amp; Recovery'!A:A,"Backup",'Backup &amp; Recovery'!B:B,$A8,'Backup &amp; Recovery'!C:C,"&gt;="&amp;DATE(YEAR(TODAY()),MONTH(TODAY()),1))=0,"No Data",COUNTIFS('Backup &amp; Recovery'!A:A,"Backup",'Backup &amp; Recovery'!J:J,"Success",'Backup &amp; Recovery'!B:B,$A8,'Backup &amp; Recovery'!C:C,"&gt;="&amp;DATE(YEAR(TODAY()),MONTH(TODAY()),1))/COUNTIFS('Backup &amp; Recovery'!A:A,"Backup",'Backup &amp; Recovery'!B:B,$A8,'Backup &amp; Recovery'!C:C,"&gt;="&amp;DATE(YEAR(TODAY()),MONTH(TODAY()),1))*100)</f>
        <v>100</v>
      </c>
      <c r="H8" s="8" t="str">
        <f ca="1">IF(COUNTIFS('Backup &amp; Recovery'!A:A,"Restore Test",'Backup &amp; Recovery'!B:B,$A8,'Backup &amp; Recovery'!C:C,"&gt;="&amp;DATE(YEAR(TODAY()),MONTH(TODAY()),1))=0,"No Data",SUM(COUNTIFS('Backup &amp; Recovery'!A:A,"Restore Test",'Backup &amp; Recovery'!J:J,{"Pass","Success"},'Backup &amp; Recovery'!B:B,$A8,'Backup &amp; Recovery'!C:C,"&gt;="&amp;DATE(YEAR(TODAY()),MONTH(TODAY()),1)))/COUNTIFS('Backup &amp; Recovery'!A:A,"Restore Test",'Backup &amp; Recovery'!B:B,$A8,'Backup &amp; Recovery'!C:C,"&gt;="&amp;DATE(YEAR(TODAY()),MONTH(TODAY()),1))*100)</f>
        <v>No Data</v>
      </c>
      <c r="I8" s="6" t="str">
        <f>IF(COUNTIFS('Replication Monitor'!I:I,$A8)=0,"No Data",IF(COUNTIFS('Replication Monitor'!H:H,"Failed",'Replication Monitor'!I:I,$A8)&gt;0,"Failed",IF(COUNTIFS('Replication Monitor'!H:H,"Degraded",'Replication Monitor'!I:I,$A8)&gt;0,"Degraded","Healthy")))</f>
        <v>Healthy</v>
      </c>
      <c r="J8" s="9">
        <f ca="1">COUNTIFS('Backup &amp; Recovery'!A:A,"Backup",'Backup &amp; Recovery'!J:J,"Failed",'Backup &amp; Recovery'!B:B,$A8,'Backup &amp; Recovery'!C:C,"&gt;="&amp;DATE(YEAR(TODAY()),MONTH(TODAY()),1))</f>
        <v>0</v>
      </c>
      <c r="K8" s="10"/>
    </row>
    <row r="9" spans="1:234" ht="20.25" customHeight="1" x14ac:dyDescent="0.25">
      <c r="A9" s="6" t="s">
        <v>19</v>
      </c>
      <c r="B9" s="4" t="str">
        <f ca="1">IFERROR(AVERAGEIFS('Availability Calculator'!$H:$H,'Availability Calculator'!$B:$B,$A9,'Availability Calculator'!$A:$A,TEXT(TODAY(),"YYYY-MM")),"No Data")</f>
        <v>No Data</v>
      </c>
      <c r="C9" s="7">
        <f ca="1">SUMIFS('Maintenance Register'!F:F,'Maintenance Register'!A:A,"&gt;="&amp;DATE(YEAR(TODAY()),MONTH(TODAY()),1),'Maintenance Register'!J:J,$A9)</f>
        <v>0</v>
      </c>
      <c r="D9" s="5">
        <f ca="1">SUMIFS('Incident Register'!E:E,'Incident Register'!B:B,"&gt;="&amp;DATE(YEAR(TODAY()),MONTH(TODAY()),1),'Incident Register'!F:F,"No",'Incident Register'!M:M,$A9)/60</f>
        <v>0</v>
      </c>
      <c r="E9" s="6">
        <f ca="1">COUNTIFS('Incident Register'!B:B,"&gt;="&amp;DATE(YEAR(TODAY()),MONTH(TODAY()),1),'Incident Register'!M:M,$A9)</f>
        <v>0</v>
      </c>
      <c r="F9" s="7" t="str">
        <f ca="1">IFERROR(AVERAGEIFS('Incident Register'!E:E, 'Incident Register'!M:M, $A9, 'Incident Register'!B:B, "&gt;="&amp;DATE(YEAR(TODAY()), MONTH(TODAY()), 1), 'Incident Register'!B:B, "&lt;="&amp;EOMONTH(TODAY(), 0))*60, "No Data")</f>
        <v>No Data</v>
      </c>
      <c r="G9" s="8">
        <f ca="1">IF(COUNTIFS('Backup &amp; Recovery'!A:A,"Backup",'Backup &amp; Recovery'!B:B,$A9,'Backup &amp; Recovery'!C:C,"&gt;="&amp;DATE(YEAR(TODAY()),MONTH(TODAY()),1))=0,"No Data",COUNTIFS('Backup &amp; Recovery'!A:A,"Backup",'Backup &amp; Recovery'!J:J,"Success",'Backup &amp; Recovery'!B:B,$A9,'Backup &amp; Recovery'!C:C,"&gt;="&amp;DATE(YEAR(TODAY()),MONTH(TODAY()),1))/COUNTIFS('Backup &amp; Recovery'!A:A,"Backup",'Backup &amp; Recovery'!B:B,$A9,'Backup &amp; Recovery'!C:C,"&gt;="&amp;DATE(YEAR(TODAY()),MONTH(TODAY()),1))*100)</f>
        <v>100</v>
      </c>
      <c r="H9" s="8" t="str">
        <f ca="1">IF(COUNTIFS('Backup &amp; Recovery'!A:A,"Restore Test",'Backup &amp; Recovery'!B:B,$A9,'Backup &amp; Recovery'!C:C,"&gt;="&amp;DATE(YEAR(TODAY()),MONTH(TODAY()),1))=0,"No Data",SUM(COUNTIFS('Backup &amp; Recovery'!A:A,"Restore Test",'Backup &amp; Recovery'!J:J,{"Pass","Success"},'Backup &amp; Recovery'!B:B,$A9,'Backup &amp; Recovery'!C:C,"&gt;="&amp;DATE(YEAR(TODAY()),MONTH(TODAY()),1)))/COUNTIFS('Backup &amp; Recovery'!A:A,"Restore Test",'Backup &amp; Recovery'!B:B,$A9,'Backup &amp; Recovery'!C:C,"&gt;="&amp;DATE(YEAR(TODAY()),MONTH(TODAY()),1))*100)</f>
        <v>No Data</v>
      </c>
      <c r="I9" s="6" t="str">
        <f>IF(COUNTIFS('Replication Monitor'!I:I,$A9)=0,"No Data",IF(COUNTIFS('Replication Monitor'!H:H,"Failed",'Replication Monitor'!I:I,$A9)&gt;0,"Failed",IF(COUNTIFS('Replication Monitor'!H:H,"Degraded",'Replication Monitor'!I:I,$A9)&gt;0,"Degraded","Healthy")))</f>
        <v>No Data</v>
      </c>
      <c r="J9" s="9">
        <f ca="1">COUNTIFS('Backup &amp; Recovery'!A:A,"Backup",'Backup &amp; Recovery'!J:J,"Failed",'Backup &amp; Recovery'!B:B,$A9,'Backup &amp; Recovery'!C:C,"&gt;="&amp;DATE(YEAR(TODAY()),MONTH(TODAY()),1))</f>
        <v>0</v>
      </c>
      <c r="K9" s="10"/>
    </row>
    <row r="10" spans="1:234" ht="19.2" customHeight="1" x14ac:dyDescent="0.25">
      <c r="A10" s="6" t="s">
        <v>172</v>
      </c>
      <c r="B10" s="4" t="str">
        <f ca="1">IFERROR(AVERAGEIFS('Availability Calculator'!$H:$H,'Availability Calculator'!$B:$B,$A10,'Availability Calculator'!$A:$A,TEXT(TODAY(),"YYYY-MM")),"No Data")</f>
        <v>No Data</v>
      </c>
      <c r="C10" s="7">
        <f ca="1">SUMIFS('Maintenance Register'!F:F,'Maintenance Register'!A:A,"&gt;="&amp;DATE(YEAR(TODAY()),MONTH(TODAY()),1),'Maintenance Register'!J:J,$A10)</f>
        <v>0</v>
      </c>
      <c r="D10" s="5">
        <f ca="1">SUMIFS('Incident Register'!E:E,'Incident Register'!B:B,"&gt;="&amp;DATE(YEAR(TODAY()),MONTH(TODAY()),1),'Incident Register'!F:F,"No",'Incident Register'!M:M,$A10)/60</f>
        <v>0</v>
      </c>
      <c r="E10" s="6">
        <f ca="1">COUNTIFS('Incident Register'!B:B,"&gt;="&amp;DATE(YEAR(TODAY()),MONTH(TODAY()),1),'Incident Register'!M:M,$A10)</f>
        <v>0</v>
      </c>
      <c r="F10" s="7" t="str">
        <f ca="1">IFERROR(AVERAGEIFS('Incident Register'!E:E, 'Incident Register'!M:M, $A10, 'Incident Register'!B:B, "&gt;="&amp;DATE(YEAR(TODAY()), MONTH(TODAY()), 1), 'Incident Register'!B:B, "&lt;="&amp;EOMONTH(TODAY(), 0))*60, "No Data")</f>
        <v>No Data</v>
      </c>
      <c r="G10" s="8" t="str">
        <f ca="1">IF(COUNTIFS('Backup &amp; Recovery'!A:A,"Backup",'Backup &amp; Recovery'!B:B,$A10,'Backup &amp; Recovery'!C:C,"&gt;="&amp;DATE(YEAR(TODAY()),MONTH(TODAY()),1))=0,"No Data",COUNTIFS('Backup &amp; Recovery'!A:A,"Backup",'Backup &amp; Recovery'!J:J,"Success",'Backup &amp; Recovery'!B:B,$A10,'Backup &amp; Recovery'!C:C,"&gt;="&amp;DATE(YEAR(TODAY()),MONTH(TODAY()),1))/COUNTIFS('Backup &amp; Recovery'!A:A,"Backup",'Backup &amp; Recovery'!B:B,$A10,'Backup &amp; Recovery'!C:C,"&gt;="&amp;DATE(YEAR(TODAY()),MONTH(TODAY()),1))*100)</f>
        <v>No Data</v>
      </c>
      <c r="H10" s="8" t="str">
        <f ca="1">IF(COUNTIFS('Backup &amp; Recovery'!A:A,"Restore Test",'Backup &amp; Recovery'!B:B,$A10,'Backup &amp; Recovery'!C:C,"&gt;="&amp;DATE(YEAR(TODAY()),MONTH(TODAY()),1))=0,"No Data",SUM(COUNTIFS('Backup &amp; Recovery'!A:A,"Restore Test",'Backup &amp; Recovery'!J:J,{"Pass","Success"},'Backup &amp; Recovery'!B:B,$A10,'Backup &amp; Recovery'!C:C,"&gt;="&amp;DATE(YEAR(TODAY()),MONTH(TODAY()),1)))/COUNTIFS('Backup &amp; Recovery'!A:A,"Restore Test",'Backup &amp; Recovery'!B:B,$A10,'Backup &amp; Recovery'!C:C,"&gt;="&amp;DATE(YEAR(TODAY()),MONTH(TODAY()),1))*100)</f>
        <v>No Data</v>
      </c>
      <c r="I10" s="6" t="str">
        <f>IF(COUNTIFS('Replication Monitor'!I:I,$A10)=0,"No Data",IF(COUNTIFS('Replication Monitor'!H:H,"Failed",'Replication Monitor'!I:I,$A10)&gt;0,"Failed",IF(COUNTIFS('Replication Monitor'!H:H,"Degraded",'Replication Monitor'!I:I,$A10)&gt;0,"Degraded","Healthy")))</f>
        <v>No Data</v>
      </c>
      <c r="J10" s="9">
        <f ca="1">COUNTIFS('Backup &amp; Recovery'!A:A,"Backup",'Backup &amp; Recovery'!J:J,"Failed",'Backup &amp; Recovery'!B:B,$A10,'Backup &amp; Recovery'!C:C,"&gt;="&amp;DATE(YEAR(TODAY()),MONTH(TODAY()),1))</f>
        <v>0</v>
      </c>
    </row>
    <row r="13" spans="1:234" ht="17.25" customHeight="1" x14ac:dyDescent="0.3">
      <c r="A13" s="99" t="s">
        <v>38</v>
      </c>
    </row>
    <row r="14" spans="1:234" ht="21" customHeight="1" x14ac:dyDescent="0.25">
      <c r="A14" s="11" t="str">
        <f>IFERROR("Showing: "&amp;B2,"")</f>
        <v>Showing: All Databases</v>
      </c>
    </row>
    <row r="16" spans="1:234" ht="54.75" customHeight="1" x14ac:dyDescent="0.25">
      <c r="A16" s="1" t="s">
        <v>39</v>
      </c>
      <c r="B16" s="1" t="s">
        <v>40</v>
      </c>
      <c r="C16" s="35" t="s">
        <v>30</v>
      </c>
      <c r="D16" s="1" t="s">
        <v>31</v>
      </c>
      <c r="E16" s="1" t="s">
        <v>32</v>
      </c>
      <c r="F16" s="35" t="s">
        <v>41</v>
      </c>
      <c r="G16" s="1" t="s">
        <v>42</v>
      </c>
      <c r="H16" s="1" t="s">
        <v>43</v>
      </c>
      <c r="I16" s="1" t="s">
        <v>36</v>
      </c>
      <c r="J16" s="1" t="s">
        <v>44</v>
      </c>
      <c r="K16" s="1" t="s">
        <v>45</v>
      </c>
      <c r="L16" s="1" t="s">
        <v>46</v>
      </c>
      <c r="M16" s="1" t="s">
        <v>37</v>
      </c>
      <c r="N16" s="1" t="s">
        <v>47</v>
      </c>
      <c r="O16" s="1" t="s">
        <v>48</v>
      </c>
    </row>
    <row r="17" spans="1:15" ht="19.5" customHeight="1" x14ac:dyDescent="0.25">
      <c r="A17" s="100" t="s">
        <v>49</v>
      </c>
      <c r="B17" s="12">
        <f ca="1">_xlfn.IFS($B$2="All Databases",AVERAGE($B$7:$B$10)/100,$B$2="Oracle",IF(ISNUMBER($B$7),$B$7/100,"No Data"),$B$2="MySQL",IF(ISNUMBER($B$8),$B$8/100,"No Data"),$B$2="MS SQL Server",IF(ISNUMBER($B$9),$B$9/100,"No Data"),$B$2="PostgreSQL",IF(ISNUMBER($B$10),$B$10/100,"No Data"))</f>
        <v>0.99313050000000003</v>
      </c>
      <c r="C17" s="7">
        <f ca="1">IF($B$2="All Databases",SUMIFS('Maintenance Register'!F:F,'Maintenance Register'!A:A,"&gt;="&amp;DATE(YEAR(TODAY()),MONTH(TODAY()),1)),SUMIFS('Maintenance Register'!F:F,'Maintenance Register'!A:A,"&gt;="&amp;DATE(YEAR(TODAY()),MONTH(TODAY()),1),'Maintenance Register'!J:J,$B$2))</f>
        <v>29.583300000000001</v>
      </c>
      <c r="D17" s="7">
        <f ca="1">IF($B$2="All Databases",SUMIFS('Incident Register'!E:E,'Incident Register'!B:B,"&gt;="&amp;DATE(YEAR(TODAY()),MONTH(TODAY()),1),'Incident Register'!F:F,"No")/60,SUMIFS('Incident Register'!E:E,'Incident Register'!B:B,"&gt;="&amp;DATE(YEAR(TODAY()),MONTH(TODAY()),1),'Incident Register'!F:F,"No",'Incident Register'!M:M,$B$2)/60)</f>
        <v>0.12777833333333335</v>
      </c>
      <c r="E17" s="6">
        <f ca="1">IF($B$2="All Databases",COUNTIFS('Incident Register'!B:B,"&gt;="&amp;DATE(YEAR(TODAY()),MONTH(TODAY()),1)),COUNTIFS('Incident Register'!B:B,"&gt;="&amp;DATE(YEAR(TODAY()),MONTH(TODAY()),1),'Incident Register'!M:M,$B$2))</f>
        <v>8</v>
      </c>
      <c r="F17" s="7">
        <f ca="1">IFERROR(IF($B$2="All Databases", AVERAGEIFS('Incident Register'!E:E, 'Incident Register'!B:B, "&gt;="&amp;DATE(YEAR(TODAY()), MONTH(TODAY()), 1), 'Incident Register'!B:B, "&lt;="&amp;EOMONTH(TODAY(), 0))*60, AVERAGEIFS('Incident Register'!E:E, 'Incident Register'!M:M, $B$2, 'Incident Register'!B:B, "&gt;="&amp;DATE(YEAR(TODAY()), MONTH(TODAY()), 1), 'Incident Register'!B:B, "&lt;="&amp;EOMONTH(TODAY(), 0))*60), "No Data")</f>
        <v>57.500250000000001</v>
      </c>
      <c r="G17" s="5">
        <f ca="1">IF($B$2="All Databases",IF(COUNTIFS('Backup &amp; Recovery'!A:A,"Backup",'Backup &amp; Recovery'!C:C,"&gt;="&amp;DATE(YEAR(TODAY()),MONTH(TODAY()),1))=0,"No Data",COUNTIFS('Backup &amp; Recovery'!A:A,"Backup",'Backup &amp; Recovery'!J:J,"Success",'Backup &amp; Recovery'!C:C,"&gt;="&amp;DATE(YEAR(TODAY()),MONTH(TODAY()),1))/COUNTIFS('Backup &amp; Recovery'!A:A,"Backup",'Backup &amp; Recovery'!C:C,"&gt;="&amp;DATE(YEAR(TODAY()),MONTH(TODAY()),1))*100),IF(COUNTIFS('Backup &amp; Recovery'!A:A,"Backup",'Backup &amp; Recovery'!B:B,$B$2,'Backup &amp; Recovery'!C:C,"&gt;="&amp;DATE(YEAR(TODAY()),MONTH(TODAY()),1))=0,"No Data",COUNTIFS('Backup &amp; Recovery'!A:A,"Backup",'Backup &amp; Recovery'!J:J,"Success",'Backup &amp; Recovery'!B:B,$B$2,'Backup &amp; Recovery'!C:C,"&gt;="&amp;DATE(YEAR(TODAY()),MONTH(TODAY()),1))/COUNTIFS('Backup &amp; Recovery'!A:A,"Backup",'Backup &amp; Recovery'!B:B,$B$2,'Backup &amp; Recovery'!C:C,"&gt;="&amp;DATE(YEAR(TODAY()),MONTH(TODAY()),1))*100))</f>
        <v>100</v>
      </c>
      <c r="H17" s="5" t="str">
        <f ca="1">IF($B$2="All Databases",
    IF(COUNTIFS('Backup &amp; Recovery'!A:A,"Restore Test",'Backup &amp; Recovery'!C:C,"&gt;="&amp;DATE(YEAR(TODAY()),MONTH(TODAY()),1))=0,
        "No Data",
        SUM(COUNTIFS('Backup &amp; Recovery'!A:A,"Restore Test",'Backup &amp; Recovery'!J:J,{"Pass","Success"},'Backup &amp; Recovery'!C:C,"&gt;="&amp;DATE(YEAR(TODAY()),MONTH(TODAY()),1))) / COUNTIFS('Backup &amp; Recovery'!A:A,"Restore Test",'Backup &amp; Recovery'!C:C,"&gt;="&amp;DATE(YEAR(TODAY()),MONTH(TODAY()),1)) * 100
    ),
    IF(COUNTIFS('Backup &amp; Recovery'!A:A,"Restore Test",'Backup &amp; Recovery'!B:B,$B$2,'Backup &amp; Recovery'!C:C,"&gt;="&amp;DATE(YEAR(TODAY()),MONTH(TODAY()),1))=0,
        "No Data",
        SUM(COUNTIFS('Backup &amp; Recovery'!A:A,"Restore Test",'Backup &amp; Recovery'!J:J,{"Pass","Success"},'Backup &amp; Recovery'!B:B,$B$2,'Backup &amp; Recovery'!C:C,"&gt;="&amp;DATE(YEAR(TODAY()),MONTH(TODAY()),1))) / COUNTIFS('Backup &amp; Recovery'!A:A,"Restore Test",'Backup &amp; Recovery'!B:B,$B$2,'Backup &amp; Recovery'!C:C,"&gt;="&amp;DATE(YEAR(TODAY()),MONTH(TODAY()),1)) * 100
    )
)</f>
        <v>No Data</v>
      </c>
      <c r="I17" s="6" t="str">
        <f>IF($B$2="All Databases",IF(COUNTIFS('Replication Monitor'!H:H,"Failed")&gt;0,"Failed",IF(COUNTIFS('Replication Monitor'!H:H,"Degraded")&gt;0,"Degraded","Healthy")),IF(COUNTIFS('Replication Monitor'!H:H,"Failed",'Replication Monitor'!I:I,$B$2)&gt;0,"Failed",IF(COUNTIFS('Replication Monitor'!H:H,"Degraded",'Replication Monitor'!I:I,$B$2)&gt;0,"Degraded",IF(COUNTIFS('Replication Monitor'!I:I,$B$2)=0,"No Data","Healthy"))))</f>
        <v>Healthy</v>
      </c>
      <c r="J17" s="13">
        <f>IF($B$2="All Databases",IF(COUNTIFS('Backup &amp; Recovery'!A:A,"Backup",'Backup &amp; Recovery'!E:E,"Full",'Backup &amp; Recovery'!J:J,"Success")=0,"No Data",_xlfn.MAXIFS('Backup &amp; Recovery'!C:C,'Backup &amp; Recovery'!A:A,"Backup",'Backup &amp; Recovery'!E:E,"Full",'Backup &amp; Recovery'!J:J,"Success")),IF(COUNTIFS('Backup &amp; Recovery'!A:A,"Backup",'Backup &amp; Recovery'!E:E,"Full",'Backup &amp; Recovery'!J:J,"Success",'Backup &amp; Recovery'!B:B,$B$2)=0,"No Data",_xlfn.MAXIFS('Backup &amp; Recovery'!C:C,'Backup &amp; Recovery'!A:A,"Backup",'Backup &amp; Recovery'!E:E,"Full",'Backup &amp; Recovery'!J:J,"Success",'Backup &amp; Recovery'!B:B,$B$2)))</f>
        <v>46224</v>
      </c>
      <c r="K17" s="13">
        <f>IF($B$2="All Databases",IF(COUNTIFS('Backup &amp; Recovery'!A:A,"Backup",'Backup &amp; Recovery'!E:E,"Incremental",'Backup &amp; Recovery'!J:J,"Success")=0,"No Data",_xlfn.MAXIFS('Backup &amp; Recovery'!C:C,'Backup &amp; Recovery'!A:A,"Backup",'Backup &amp; Recovery'!E:E,"Incremental",'Backup &amp; Recovery'!J:J,"Success")),IF(COUNTIFS('Backup &amp; Recovery'!A:A,"Backup",'Backup &amp; Recovery'!E:E,"Incremental",'Backup &amp; Recovery'!J:J,"Success",'Backup &amp; Recovery'!B:B,$B$2)=0,"No Data",_xlfn.MAXIFS('Backup &amp; Recovery'!C:C,'Backup &amp; Recovery'!A:A,"Backup",'Backup &amp; Recovery'!E:E,"Incremental",'Backup &amp; Recovery'!J:J,"Success",'Backup &amp; Recovery'!B:B,$B$2)))</f>
        <v>46226</v>
      </c>
      <c r="L17" s="13" t="str">
        <f>IF($B$2="All Databases",IF(COUNTIFS('Backup &amp; Recovery'!A:A,"Restore Test",'Backup &amp; Recovery'!J:J,"Pass")=0,"No Data",_xlfn.MAXIFS('Backup &amp; Recovery'!C:C,'Backup &amp; Recovery'!A:A,"Restore Test",'Backup &amp; Recovery'!J:J,"Pass")),IF(COUNTIFS('Backup &amp; Recovery'!A:A,"Restore Test",'Backup &amp; Recovery'!J:J,"Pass",'Backup &amp; Recovery'!B:B,$B$2)=0,"No Data",_xlfn.MAXIFS('Backup &amp; Recovery'!C:C,'Backup &amp; Recovery'!A:A,"Restore Test",'Backup &amp; Recovery'!J:J,"Pass",'Backup &amp; Recovery'!B:B,$B$2)))</f>
        <v>No Data</v>
      </c>
      <c r="M17" s="6">
        <f ca="1">IF($B$2="All Databases",IF(COUNTIFS('Backup &amp; Recovery'!A:A,"Backup",'Backup &amp; Recovery'!C:C,"&gt;="&amp;DATE(YEAR(TODAY()),MONTH(TODAY()),1))=0,"No Data",COUNTIFS('Backup &amp; Recovery'!A:A,"Backup",'Backup &amp; Recovery'!J:J,"Failed",'Backup &amp; Recovery'!C:C,"&gt;="&amp;DATE(YEAR(TODAY()),MONTH(TODAY()),1))),IF(COUNTIFS('Backup &amp; Recovery'!A:A,"Backup",'Backup &amp; Recovery'!B:B,$B$2,'Backup &amp; Recovery'!C:C,"&gt;="&amp;DATE(YEAR(TODAY()),MONTH(TODAY()),1))=0,"No Data",COUNTIFS('Backup &amp; Recovery'!A:A,"Backup",'Backup &amp; Recovery'!J:J,"Failed",'Backup &amp; Recovery'!B:B,$B$2,'Backup &amp; Recovery'!C:C,"&gt;="&amp;DATE(YEAR(TODAY()),MONTH(TODAY()),1))))</f>
        <v>0</v>
      </c>
      <c r="N17" s="6" t="str">
        <f ca="1">IF($B$2="All Databases",IF(COUNTIFS('Backup &amp; Recovery'!A:A,"Restore Test",'Backup &amp; Recovery'!C:C,"&gt;="&amp;DATE(YEAR(TODAY()),MONTH(TODAY()),1))=0,"No Data",COUNTIFS('Backup &amp; Recovery'!A:A,"Restore Test",'Backup &amp; Recovery'!J:J,"Fail",'Backup &amp; Recovery'!C:C,"&gt;="&amp;DATE(YEAR(TODAY()),MONTH(TODAY()),1))),IF(COUNTIFS('Backup &amp; Recovery'!A:A,"Restore Test",'Backup &amp; Recovery'!B:B,$B$2,'Backup &amp; Recovery'!C:C,"&gt;="&amp;DATE(YEAR(TODAY()),MONTH(TODAY()),1))=0,"No Data",COUNTIFS('Backup &amp; Recovery'!A:A,"Restore Test",'Backup &amp; Recovery'!J:J,"Fail",'Backup &amp; Recovery'!B:B,$B$2,'Backup &amp; Recovery'!C:C,"&gt;="&amp;DATE(YEAR(TODAY()),MONTH(TODAY()),1))))</f>
        <v>No Data</v>
      </c>
      <c r="O17" s="6">
        <f>IF($B$2="All Databases",IF(COUNTA('Replication Monitor'!I:I)-1=0,"No Data",MAX('Replication Monitor'!F:F)),IF(COUNTIFS('Replication Monitor'!I:I,$B$2)=0,"No Data",_xlfn.MAXIFS('Replication Monitor'!F:F,'Replication Monitor'!I:I,$B$2)))</f>
        <v>0</v>
      </c>
    </row>
    <row r="18" spans="1:15" ht="28.5" customHeight="1" x14ac:dyDescent="0.25">
      <c r="A18" s="100" t="s">
        <v>50</v>
      </c>
      <c r="B18" s="6" t="s">
        <v>51</v>
      </c>
      <c r="C18" s="7" t="s">
        <v>52</v>
      </c>
      <c r="D18" s="6" t="s">
        <v>53</v>
      </c>
      <c r="E18" s="6" t="s">
        <v>54</v>
      </c>
      <c r="F18" s="7" t="s">
        <v>55</v>
      </c>
      <c r="G18" s="6" t="s">
        <v>56</v>
      </c>
      <c r="H18" s="6" t="s">
        <v>57</v>
      </c>
      <c r="I18" s="6" t="s">
        <v>58</v>
      </c>
      <c r="J18" s="6" t="s">
        <v>59</v>
      </c>
      <c r="K18" s="6" t="s">
        <v>60</v>
      </c>
      <c r="L18" s="6" t="s">
        <v>61</v>
      </c>
      <c r="M18" s="6">
        <v>0</v>
      </c>
      <c r="N18" s="6">
        <v>0</v>
      </c>
      <c r="O18" s="6" t="s">
        <v>173</v>
      </c>
    </row>
    <row r="19" spans="1:15" ht="18" customHeight="1" x14ac:dyDescent="0.25">
      <c r="A19" s="100" t="s">
        <v>4</v>
      </c>
      <c r="B19" s="6" t="str">
        <f ca="1">IF(B17="No Data","N/A",IF(B17&gt;=0.99,"Meets SLA",IF(B17&gt;=0.97,"Marginal","Below SLA")))</f>
        <v>Meets SLA</v>
      </c>
      <c r="C19" s="7" t="str">
        <f ca="1">IF(C17&lt;=48,"Meets SLA",IF(C17&lt;=49,"Marginal","Below SLA"))</f>
        <v>Meets SLA</v>
      </c>
      <c r="D19" s="6" t="str">
        <f ca="1">IF(D17&lt;=1.6,"Meets SLA",IF(D17&lt;=2,"Marginal","Below SLA"))</f>
        <v>Meets SLA</v>
      </c>
      <c r="E19" s="6" t="str">
        <f ca="1">IF(E17&lt;=4,"Meets SLA",IF(E17&lt;=5,"Marginal","Below SLA"))</f>
        <v>Below SLA</v>
      </c>
      <c r="F19" s="7" t="str">
        <f ca="1">IF(F17="No Data","N/A",IF(F17&lt;=96,"Meets SLA",IF(F17&lt;=240,"Marginal","Below SLA")))</f>
        <v>Meets SLA</v>
      </c>
      <c r="G19" s="6" t="str">
        <f ca="1">IF(G17="No Data","N/A",IF(G17&gt;=95,"Meets SLA",IF(G17&gt;=90,"Marginal","Below SLA")))</f>
        <v>Meets SLA</v>
      </c>
      <c r="H19" s="6" t="str">
        <f ca="1">IF(H17="No Data","N/A",IF(H17&gt;=80,"Meets SLA",IF(H17&gt;=75,"Marginal","Below SLA")))</f>
        <v>N/A</v>
      </c>
      <c r="I19" s="6" t="str">
        <f>IF(I17="Healthy","Meets SLA",IF(I17="Degraded","Marginal",IF(I17="No Data","N/A","Below SLA")))</f>
        <v>Meets SLA</v>
      </c>
      <c r="J19" s="6" t="str">
        <f ca="1">IF(J17="No Data","N/A",IF(TODAY()-J17&lt;=7,"Meets SLA",IF(TODAY()-J17&lt;=10,"Marginal","Below SLA")))</f>
        <v>Meets SLA</v>
      </c>
      <c r="K19" s="6" t="str">
        <f ca="1">IF(K17="No Data","N/A",IF(TODAY()-K17&lt;=1,"Meets SLA",IF(TODAY()-K17&lt;=2,"Marginal","Below SLA")))</f>
        <v>Meets SLA</v>
      </c>
      <c r="L19" s="6" t="str">
        <f ca="1">IF(L17="No Data","N/A",IF(DATEDIF(L17,TODAY(),"m")&lt;6,"Meets SLA",IF(DATEDIF(L17,TODAY(),"m")&lt;8,"Marginal","Below SLA")))</f>
        <v>N/A</v>
      </c>
      <c r="M19" s="6" t="str">
        <f ca="1">IF(M17="No Data","N/A",IF(M17&lt;=0,"Meets SLA","Below SLA"))</f>
        <v>Meets SLA</v>
      </c>
      <c r="N19" s="6" t="str">
        <f ca="1">IF(N17="No Data","N/A",IF(N17=0,"Meets SLA","Below SLA"))</f>
        <v>N/A</v>
      </c>
      <c r="O19" s="6" t="str">
        <f>IF(O17="No Data","N/A",IF(O17&lt;24,"Meets SLA",IF(O17&lt;2,"Marginal","Below SLA")))</f>
        <v>Meets SLA</v>
      </c>
    </row>
    <row r="20" spans="1:15" s="102" customFormat="1" ht="18" customHeight="1" x14ac:dyDescent="0.25">
      <c r="A20" s="101"/>
      <c r="B20" s="14"/>
      <c r="C20" s="36"/>
      <c r="D20" s="14"/>
      <c r="E20" s="14"/>
      <c r="F20" s="36"/>
      <c r="G20" s="14"/>
      <c r="H20" s="14"/>
      <c r="I20" s="14"/>
      <c r="J20" s="14"/>
      <c r="K20" s="14"/>
      <c r="L20" s="14"/>
      <c r="M20" s="14"/>
      <c r="N20" s="14"/>
      <c r="O20" s="14"/>
    </row>
    <row r="22" spans="1:15" ht="16.5" customHeight="1" x14ac:dyDescent="0.3">
      <c r="A22" s="99" t="s">
        <v>62</v>
      </c>
    </row>
    <row r="23" spans="1:15" ht="14.25" customHeight="1" x14ac:dyDescent="0.3">
      <c r="A23" s="98" t="str">
        <f>IFERROR("This month, "&amp;B2,"")</f>
        <v>This month, All Databases</v>
      </c>
    </row>
    <row r="25" spans="1:15" ht="18" customHeight="1" x14ac:dyDescent="0.25">
      <c r="A25" s="1" t="s">
        <v>13</v>
      </c>
      <c r="B25" s="1" t="s">
        <v>63</v>
      </c>
      <c r="C25" s="35" t="s">
        <v>64</v>
      </c>
      <c r="D25" s="1" t="s">
        <v>65</v>
      </c>
      <c r="E25" s="1" t="s">
        <v>66</v>
      </c>
      <c r="F25" s="35" t="s">
        <v>67</v>
      </c>
      <c r="G25" s="1" t="s">
        <v>68</v>
      </c>
    </row>
    <row r="26" spans="1:15" ht="21" customHeight="1" x14ac:dyDescent="0.25">
      <c r="A26" s="6" t="str">
        <f>IF($B$2="All Databases","All Databases",$B$2)</f>
        <v>All Databases</v>
      </c>
      <c r="B26" s="6">
        <f ca="1">IF($B$2="All Databases",COUNTIFS('Incident Register'!B:B,"&gt;="&amp;DATE(YEAR(TODAY()),MONTH(TODAY()),1),'Incident Register'!L:L,"Open"),COUNTIFS('Incident Register'!B:B,"&gt;="&amp;DATE(YEAR(TODAY()),MONTH(TODAY()),1),'Incident Register'!L:L,"Open",'Incident Register'!M:M,$B$2))</f>
        <v>0</v>
      </c>
      <c r="C26" s="7">
        <f ca="1">IF($B$2="All Databases",COUNTIFS('Incident Register'!B:B,"&gt;="&amp;DATE(YEAR(TODAY()),MONTH(TODAY()),1),'Incident Register'!L:L,"In Progress"),COUNTIFS('Incident Register'!B:B,"&gt;="&amp;DATE(YEAR(TODAY()),MONTH(TODAY()),1),'Incident Register'!L:L,"In Progress",'Incident Register'!M:M,$B$2))</f>
        <v>1</v>
      </c>
      <c r="D26" s="6">
        <f ca="1">IF($B$2="All Databases",COUNTIFS('Incident Register'!B:B,"&gt;="&amp;DATE(YEAR(TODAY()),MONTH(TODAY()),1),'Incident Register'!L:L,"Resolved"),COUNTIFS('Incident Register'!B:B,"&gt;="&amp;DATE(YEAR(TODAY()),MONTH(TODAY()),1),'Incident Register'!L:L,"Resolved",'Incident Register'!M:M,$B$2))</f>
        <v>7</v>
      </c>
      <c r="E26" s="6">
        <f ca="1">IF($B$2="All Databases",COUNTIFS('Incident Register'!B:B,"&gt;="&amp;DATE(YEAR(TODAY()),MONTH(TODAY()),1),'Incident Register'!L:L,"Closed"),COUNTIFS('Incident Register'!B:B,"&gt;="&amp;DATE(YEAR(TODAY()),MONTH(TODAY()),1),'Incident Register'!L:L,"Closed",'Incident Register'!M:M,$B$2))</f>
        <v>0</v>
      </c>
      <c r="F26" s="7">
        <f ca="1">IF($B$2="All Databases",COUNTIFS('Incident Register'!B:B,"&gt;="&amp;DATE(YEAR(TODAY()),MONTH(TODAY()),1),'Incident Register'!L:L,"On Hold"),COUNTIFS('Incident Register'!B:B,"&gt;="&amp;DATE(YEAR(TODAY()),MONTH(TODAY()),1),'Incident Register'!L:L,"On Hold",'Incident Register'!M:M,$B$2))</f>
        <v>0</v>
      </c>
      <c r="G26" s="6">
        <f ca="1">SUM(B26:F26)</f>
        <v>8</v>
      </c>
    </row>
    <row r="29" spans="1:15" ht="14.25" customHeight="1" x14ac:dyDescent="0.3">
      <c r="A29" s="103" t="s">
        <v>69</v>
      </c>
      <c r="B29" s="122">
        <f ca="1">NOW()</f>
        <v>46227.37939386574</v>
      </c>
      <c r="C29" s="122"/>
      <c r="D29" s="122"/>
      <c r="E29" s="122"/>
      <c r="F29" s="122"/>
      <c r="G29" s="122"/>
    </row>
    <row r="33" spans="1:2" ht="13.5" customHeight="1" x14ac:dyDescent="0.25">
      <c r="A33" s="104"/>
    </row>
    <row r="34" spans="1:2" ht="13.5" customHeight="1" x14ac:dyDescent="0.25">
      <c r="A34" s="105"/>
      <c r="B34" s="104"/>
    </row>
    <row r="35" spans="1:2" ht="27" customHeight="1" x14ac:dyDescent="0.25">
      <c r="A35" s="102"/>
      <c r="B35" s="106"/>
    </row>
    <row r="36" spans="1:2" ht="27" customHeight="1" x14ac:dyDescent="0.25">
      <c r="A36" s="102"/>
      <c r="B36" s="106"/>
    </row>
    <row r="37" spans="1:2" ht="27" customHeight="1" x14ac:dyDescent="0.25">
      <c r="A37" s="102"/>
      <c r="B37" s="106"/>
    </row>
  </sheetData>
  <mergeCells count="3">
    <mergeCell ref="A1:P1"/>
    <mergeCell ref="B29:G29"/>
    <mergeCell ref="D2:J2"/>
  </mergeCells>
  <conditionalFormatting sqref="C7:C10">
    <cfRule type="expression" dxfId="96" priority="2">
      <formula>C7&lt;=48</formula>
    </cfRule>
    <cfRule type="expression" dxfId="95" priority="3">
      <formula>AND(C7&gt;48,C7&lt;=49)</formula>
    </cfRule>
    <cfRule type="expression" dxfId="94" priority="4">
      <formula>C7&gt;49</formula>
    </cfRule>
  </conditionalFormatting>
  <conditionalFormatting sqref="H7:H10">
    <cfRule type="containsText" dxfId="93" priority="5" operator="containsText" text="No Data">
      <formula>NOT(ISERROR(SEARCH("No Data",H7)))</formula>
    </cfRule>
    <cfRule type="expression" dxfId="92" priority="6">
      <formula>AND(ISNUMBER(H7),H7&gt;=80)</formula>
    </cfRule>
    <cfRule type="expression" dxfId="91" priority="7">
      <formula>AND(ISNUMBER(H7),H7&gt;=75,H7&lt;80)</formula>
    </cfRule>
    <cfRule type="expression" dxfId="90" priority="8">
      <formula>AND(ISNUMBER(H7),H7&lt;75)</formula>
    </cfRule>
  </conditionalFormatting>
  <conditionalFormatting sqref="A34">
    <cfRule type="expression" dxfId="89" priority="9">
      <formula>A$19="Below SLA"</formula>
    </cfRule>
    <cfRule type="expression" dxfId="88" priority="10">
      <formula>A$19="Marginal"</formula>
    </cfRule>
    <cfRule type="expression" dxfId="87" priority="11">
      <formula>A$19="Meets SLA"</formula>
    </cfRule>
  </conditionalFormatting>
  <conditionalFormatting sqref="B7:J10">
    <cfRule type="containsText" dxfId="86" priority="1" operator="containsText" text="No Data">
      <formula>NOT(ISERROR(SEARCH("No Data",B7)))</formula>
    </cfRule>
    <cfRule type="containsText" dxfId="85" priority="12" operator="containsText" text="No Data">
      <formula>NOT(ISERROR(SEARCH("No Data",B7)))</formula>
    </cfRule>
  </conditionalFormatting>
  <conditionalFormatting sqref="J9">
    <cfRule type="containsText" dxfId="84" priority="13" operator="containsText" text="No Data">
      <formula>NOT(ISERROR(SEARCH("No Data",J9)))</formula>
    </cfRule>
  </conditionalFormatting>
  <conditionalFormatting sqref="F9">
    <cfRule type="containsText" dxfId="83" priority="14" operator="containsText" text="No Data">
      <formula>NOT(ISERROR(SEARCH("No Data",F9)))</formula>
    </cfRule>
  </conditionalFormatting>
  <conditionalFormatting sqref="B7:B10">
    <cfRule type="expression" dxfId="82" priority="15">
      <formula>B7&gt;=99</formula>
    </cfRule>
    <cfRule type="expression" dxfId="81" priority="16">
      <formula>AND(B7&gt;=97,B7&lt;99)</formula>
    </cfRule>
    <cfRule type="expression" dxfId="80" priority="17">
      <formula>B7&lt;97</formula>
    </cfRule>
  </conditionalFormatting>
  <conditionalFormatting sqref="D7:D10">
    <cfRule type="expression" dxfId="79" priority="18">
      <formula>D7&lt;=1.6</formula>
    </cfRule>
    <cfRule type="expression" dxfId="78" priority="19">
      <formula>AND(D7&gt;1.6,D7&lt;=2)</formula>
    </cfRule>
    <cfRule type="expression" dxfId="77" priority="20">
      <formula>D7&gt;2</formula>
    </cfRule>
  </conditionalFormatting>
  <conditionalFormatting sqref="E7:E10">
    <cfRule type="expression" dxfId="76" priority="21">
      <formula>E7&lt;=4</formula>
    </cfRule>
    <cfRule type="expression" dxfId="75" priority="22">
      <formula>AND(E7&gt;4,E7&lt;=5)</formula>
    </cfRule>
    <cfRule type="expression" dxfId="74" priority="23">
      <formula>E7&gt;5</formula>
    </cfRule>
  </conditionalFormatting>
  <conditionalFormatting sqref="F7:F10">
    <cfRule type="expression" dxfId="73" priority="24">
      <formula>F7&lt;=96</formula>
    </cfRule>
    <cfRule type="expression" dxfId="72" priority="25">
      <formula>AND(F7&gt;96,F7&lt;=120)</formula>
    </cfRule>
    <cfRule type="expression" dxfId="71" priority="26">
      <formula>F7&gt;120</formula>
    </cfRule>
  </conditionalFormatting>
  <conditionalFormatting sqref="G7:G10">
    <cfRule type="expression" dxfId="70" priority="27">
      <formula>G7="No Data"</formula>
    </cfRule>
    <cfRule type="expression" dxfId="69" priority="28">
      <formula>AND(ISNUMBER(G7),G7&gt;=95)</formula>
    </cfRule>
    <cfRule type="expression" dxfId="68" priority="29">
      <formula>AND(ISNUMBER(G7),G7&gt;=90,G7&lt;95)</formula>
    </cfRule>
    <cfRule type="expression" dxfId="67" priority="30">
      <formula>AND(ISNUMBER(G7),G7&lt;90)</formula>
    </cfRule>
  </conditionalFormatting>
  <conditionalFormatting sqref="B19:O19">
    <cfRule type="cellIs" dxfId="66" priority="31" operator="equal">
      <formula>"Below SLA"</formula>
    </cfRule>
    <cfRule type="cellIs" dxfId="65" priority="32" operator="equal">
      <formula>"Marginal"</formula>
    </cfRule>
    <cfRule type="cellIs" dxfId="64" priority="33" operator="equal">
      <formula>"Meets SLA"</formula>
    </cfRule>
  </conditionalFormatting>
  <conditionalFormatting sqref="B17:O17">
    <cfRule type="expression" dxfId="63" priority="34">
      <formula>B$19="Below SLA"</formula>
    </cfRule>
    <cfRule type="expression" dxfId="62" priority="35">
      <formula>B$19="Marginal"</formula>
    </cfRule>
    <cfRule type="expression" dxfId="61" priority="36">
      <formula>B$19="Meets SLA"</formula>
    </cfRule>
  </conditionalFormatting>
  <conditionalFormatting sqref="I7:I10">
    <cfRule type="cellIs" dxfId="60" priority="37" operator="equal">
      <formula>"Healthy"</formula>
    </cfRule>
    <cfRule type="cellIs" dxfId="59" priority="38" operator="equal">
      <formula>"Degraded"</formula>
    </cfRule>
    <cfRule type="cellIs" dxfId="58" priority="39" operator="equal">
      <formula>"Failed"</formula>
    </cfRule>
  </conditionalFormatting>
  <conditionalFormatting sqref="B26">
    <cfRule type="expression" dxfId="57" priority="40">
      <formula>B26=0</formula>
    </cfRule>
    <cfRule type="expression" dxfId="56" priority="41">
      <formula>B26&gt;0</formula>
    </cfRule>
  </conditionalFormatting>
  <conditionalFormatting sqref="J7:J10">
    <cfRule type="expression" dxfId="55" priority="42">
      <formula>J7=0</formula>
    </cfRule>
    <cfRule type="expression" dxfId="54" priority="43">
      <formula>J7&gt;0</formula>
    </cfRule>
  </conditionalFormatting>
  <conditionalFormatting sqref="F26">
    <cfRule type="expression" dxfId="53" priority="44">
      <formula>F26=0</formula>
    </cfRule>
    <cfRule type="expression" dxfId="52" priority="45">
      <formula>F26&gt;0</formula>
    </cfRule>
  </conditionalFormatting>
  <conditionalFormatting sqref="A7:J7 F8:F9">
    <cfRule type="expression" dxfId="51" priority="46">
      <formula>$A7=$B$2</formula>
    </cfRule>
  </conditionalFormatting>
  <conditionalFormatting sqref="A8:J8 E9:E10 E7">
    <cfRule type="expression" dxfId="50" priority="47">
      <formula>$A7=$B$2</formula>
    </cfRule>
  </conditionalFormatting>
  <conditionalFormatting sqref="A10:J10">
    <cfRule type="expression" dxfId="49" priority="48">
      <formula>$A10=$B$2</formula>
    </cfRule>
  </conditionalFormatting>
  <dataValidations count="1">
    <dataValidation type="list" sqref="B2:B3" xr:uid="{B91205D0-3C28-4A56-865B-51F31C1168A1}">
      <formula1>"All Databases,Oracle,MySQL,MS SQL Server,PostgreSQL"</formula1>
      <formula2>0</formula2>
    </dataValidation>
  </dataValidations>
  <pageMargins left="0.2" right="0.17" top="0.17" bottom="1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9"/>
  <sheetViews>
    <sheetView showGridLines="0" topLeftCell="C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.44140625" style="19" bestFit="1" customWidth="1"/>
    <col min="2" max="2" width="20.88671875" style="19" bestFit="1" customWidth="1"/>
    <col min="3" max="4" width="11.33203125" style="19" bestFit="1" customWidth="1"/>
    <col min="5" max="5" width="17.109375" style="21" bestFit="1" customWidth="1"/>
    <col min="6" max="6" width="12.33203125" style="19" bestFit="1" customWidth="1"/>
    <col min="7" max="7" width="12.21875" style="19" bestFit="1" customWidth="1"/>
    <col min="8" max="8" width="11.5546875" style="19" bestFit="1" customWidth="1"/>
    <col min="9" max="9" width="19" style="19" bestFit="1" customWidth="1"/>
    <col min="10" max="10" width="24.33203125" style="19" bestFit="1" customWidth="1"/>
    <col min="11" max="11" width="15.5546875" style="19" bestFit="1" customWidth="1"/>
    <col min="12" max="12" width="10.6640625" style="19" customWidth="1"/>
    <col min="13" max="13" width="13.21875" style="19" bestFit="1" customWidth="1"/>
  </cols>
  <sheetData>
    <row r="1" spans="1:13" x14ac:dyDescent="0.3">
      <c r="A1" s="15" t="s">
        <v>70</v>
      </c>
      <c r="B1" s="15" t="s">
        <v>71</v>
      </c>
      <c r="C1" s="15" t="s">
        <v>72</v>
      </c>
      <c r="D1" s="15" t="s">
        <v>73</v>
      </c>
      <c r="E1" s="16" t="s">
        <v>74</v>
      </c>
      <c r="F1" s="15" t="s">
        <v>142</v>
      </c>
      <c r="G1" s="15" t="s">
        <v>2</v>
      </c>
      <c r="H1" s="15" t="s">
        <v>75</v>
      </c>
      <c r="I1" s="15" t="s">
        <v>76</v>
      </c>
      <c r="J1" s="15" t="s">
        <v>77</v>
      </c>
      <c r="K1" s="15" t="s">
        <v>78</v>
      </c>
      <c r="L1" s="15" t="s">
        <v>4</v>
      </c>
      <c r="M1" s="15" t="s">
        <v>13</v>
      </c>
    </row>
    <row r="2" spans="1:13" x14ac:dyDescent="0.3">
      <c r="A2" t="s">
        <v>79</v>
      </c>
      <c r="B2" s="17">
        <v>46204</v>
      </c>
      <c r="C2" s="18">
        <v>9.375E-2</v>
      </c>
      <c r="D2" s="18">
        <v>0.11458333333333333</v>
      </c>
      <c r="E2" s="21">
        <v>0.5</v>
      </c>
      <c r="F2" t="s">
        <v>80</v>
      </c>
      <c r="G2" t="s">
        <v>5</v>
      </c>
      <c r="H2" t="s">
        <v>81</v>
      </c>
      <c r="I2" t="s">
        <v>82</v>
      </c>
      <c r="J2" t="s">
        <v>83</v>
      </c>
      <c r="K2" t="s">
        <v>84</v>
      </c>
      <c r="L2" t="s">
        <v>65</v>
      </c>
      <c r="M2" t="s">
        <v>17</v>
      </c>
    </row>
    <row r="3" spans="1:13" x14ac:dyDescent="0.3">
      <c r="A3" t="s">
        <v>85</v>
      </c>
      <c r="B3" s="17">
        <v>46206</v>
      </c>
      <c r="C3" s="18">
        <v>0.59722222222222221</v>
      </c>
      <c r="D3" s="18">
        <v>0.60763888888888884</v>
      </c>
      <c r="E3" s="21">
        <v>0.25</v>
      </c>
      <c r="F3" t="s">
        <v>80</v>
      </c>
      <c r="G3" t="s">
        <v>7</v>
      </c>
      <c r="H3" t="s">
        <v>81</v>
      </c>
      <c r="I3" t="s">
        <v>86</v>
      </c>
      <c r="J3" t="s">
        <v>87</v>
      </c>
      <c r="K3" t="s">
        <v>84</v>
      </c>
      <c r="L3" t="s">
        <v>65</v>
      </c>
      <c r="M3" t="s">
        <v>17</v>
      </c>
    </row>
    <row r="4" spans="1:13" x14ac:dyDescent="0.3">
      <c r="A4" t="s">
        <v>88</v>
      </c>
      <c r="B4" s="17">
        <v>46208</v>
      </c>
      <c r="C4" s="18">
        <v>0.375</v>
      </c>
      <c r="D4" s="18">
        <v>0.38194444444444442</v>
      </c>
      <c r="E4" s="21">
        <v>0.16669999999999999</v>
      </c>
      <c r="F4" t="s">
        <v>80</v>
      </c>
      <c r="G4" t="s">
        <v>9</v>
      </c>
      <c r="H4" t="s">
        <v>89</v>
      </c>
      <c r="I4" t="s">
        <v>90</v>
      </c>
      <c r="J4" t="s">
        <v>91</v>
      </c>
      <c r="K4" t="s">
        <v>92</v>
      </c>
      <c r="L4" t="s">
        <v>65</v>
      </c>
      <c r="M4" t="s">
        <v>18</v>
      </c>
    </row>
    <row r="5" spans="1:13" x14ac:dyDescent="0.3">
      <c r="A5" t="s">
        <v>93</v>
      </c>
      <c r="B5" s="17">
        <v>46211</v>
      </c>
      <c r="C5" s="18">
        <v>0.9375</v>
      </c>
      <c r="D5" s="18">
        <v>0.96875</v>
      </c>
      <c r="E5" s="21">
        <v>0.75</v>
      </c>
      <c r="F5" t="s">
        <v>80</v>
      </c>
      <c r="G5" t="s">
        <v>7</v>
      </c>
      <c r="H5" t="s">
        <v>89</v>
      </c>
      <c r="I5" t="s">
        <v>94</v>
      </c>
      <c r="J5" t="s">
        <v>95</v>
      </c>
      <c r="K5" t="s">
        <v>92</v>
      </c>
      <c r="L5" t="s">
        <v>65</v>
      </c>
      <c r="M5" t="s">
        <v>18</v>
      </c>
    </row>
    <row r="6" spans="1:13" x14ac:dyDescent="0.3">
      <c r="A6" t="s">
        <v>96</v>
      </c>
      <c r="B6" s="17">
        <v>46213</v>
      </c>
      <c r="C6" s="18">
        <v>0.25</v>
      </c>
      <c r="D6" s="18">
        <v>0.25347222222222221</v>
      </c>
      <c r="E6" s="21">
        <v>0</v>
      </c>
      <c r="F6" t="s">
        <v>80</v>
      </c>
      <c r="G6" t="s">
        <v>11</v>
      </c>
      <c r="H6" t="s">
        <v>81</v>
      </c>
      <c r="I6" t="s">
        <v>97</v>
      </c>
      <c r="J6" t="s">
        <v>98</v>
      </c>
      <c r="K6" t="s">
        <v>99</v>
      </c>
      <c r="L6" t="s">
        <v>65</v>
      </c>
      <c r="M6" t="s">
        <v>17</v>
      </c>
    </row>
    <row r="7" spans="1:13" x14ac:dyDescent="0.3">
      <c r="A7" t="s">
        <v>100</v>
      </c>
      <c r="B7" s="17">
        <v>46215</v>
      </c>
      <c r="C7" s="18">
        <v>0.45833333333333331</v>
      </c>
      <c r="D7" s="18">
        <v>0.47222222222222221</v>
      </c>
      <c r="E7" s="21">
        <v>0.33329999999999999</v>
      </c>
      <c r="F7" t="s">
        <v>80</v>
      </c>
      <c r="G7" t="s">
        <v>9</v>
      </c>
      <c r="H7" t="s">
        <v>81</v>
      </c>
      <c r="I7" t="s">
        <v>101</v>
      </c>
      <c r="J7" t="s">
        <v>102</v>
      </c>
      <c r="K7" t="s">
        <v>92</v>
      </c>
      <c r="L7" t="s">
        <v>65</v>
      </c>
      <c r="M7" t="s">
        <v>17</v>
      </c>
    </row>
    <row r="8" spans="1:13" x14ac:dyDescent="0.3">
      <c r="A8" s="19" t="s">
        <v>103</v>
      </c>
      <c r="B8" s="17">
        <v>46217</v>
      </c>
      <c r="C8" s="18">
        <v>0.3888888888888889</v>
      </c>
      <c r="D8" s="18">
        <v>0.5</v>
      </c>
      <c r="E8" s="21">
        <v>2.6667000000000001</v>
      </c>
      <c r="F8" s="19" t="s">
        <v>80</v>
      </c>
      <c r="G8" s="19" t="s">
        <v>5</v>
      </c>
      <c r="H8" s="19" t="s">
        <v>81</v>
      </c>
      <c r="I8" s="19" t="s">
        <v>104</v>
      </c>
      <c r="J8" s="19" t="s">
        <v>105</v>
      </c>
      <c r="K8" s="19" t="s">
        <v>106</v>
      </c>
      <c r="L8" s="19" t="s">
        <v>64</v>
      </c>
      <c r="M8" s="19" t="s">
        <v>17</v>
      </c>
    </row>
    <row r="9" spans="1:13" x14ac:dyDescent="0.3">
      <c r="A9" s="19" t="s">
        <v>168</v>
      </c>
      <c r="B9" s="17">
        <v>46221</v>
      </c>
      <c r="C9" s="18">
        <v>0.36527777777777776</v>
      </c>
      <c r="D9" s="18">
        <v>0.49027777777777776</v>
      </c>
      <c r="E9" s="21">
        <v>3</v>
      </c>
      <c r="F9" s="19" t="s">
        <v>80</v>
      </c>
      <c r="G9" s="19" t="s">
        <v>7</v>
      </c>
      <c r="H9" s="19" t="s">
        <v>169</v>
      </c>
      <c r="I9" s="19" t="s">
        <v>170</v>
      </c>
      <c r="J9" s="19" t="s">
        <v>171</v>
      </c>
      <c r="K9" s="19" t="s">
        <v>92</v>
      </c>
      <c r="L9" s="19" t="s">
        <v>65</v>
      </c>
      <c r="M9" s="19" t="s">
        <v>18</v>
      </c>
    </row>
    <row r="10" spans="1:13" ht="23.25" customHeight="1" x14ac:dyDescent="0.3"/>
    <row r="11" spans="1:13" ht="23.25" customHeight="1" x14ac:dyDescent="0.3"/>
    <row r="12" spans="1:13" ht="23.25" customHeight="1" x14ac:dyDescent="0.3"/>
    <row r="13" spans="1:13" ht="23.25" customHeight="1" x14ac:dyDescent="0.3"/>
    <row r="14" spans="1:13" ht="23.25" customHeight="1" x14ac:dyDescent="0.3"/>
    <row r="15" spans="1:13" ht="23.25" customHeight="1" x14ac:dyDescent="0.3"/>
    <row r="16" spans="1:13" ht="23.25" customHeight="1" x14ac:dyDescent="0.3"/>
    <row r="17" ht="23.25" customHeight="1" x14ac:dyDescent="0.3"/>
    <row r="18" ht="23.25" customHeight="1" x14ac:dyDescent="0.3"/>
    <row r="19" ht="23.25" customHeight="1" x14ac:dyDescent="0.3"/>
    <row r="20" ht="23.25" customHeight="1" x14ac:dyDescent="0.3"/>
    <row r="21" ht="23.25" customHeight="1" x14ac:dyDescent="0.3"/>
    <row r="22" ht="23.25" customHeight="1" x14ac:dyDescent="0.3"/>
    <row r="23" ht="23.25" customHeight="1" x14ac:dyDescent="0.3"/>
    <row r="24" ht="23.25" customHeight="1" x14ac:dyDescent="0.3"/>
    <row r="25" ht="23.25" customHeight="1" x14ac:dyDescent="0.3"/>
    <row r="26" ht="23.25" customHeight="1" x14ac:dyDescent="0.3"/>
    <row r="27" ht="23.25" customHeight="1" x14ac:dyDescent="0.3"/>
    <row r="28" ht="23.25" customHeight="1" x14ac:dyDescent="0.3"/>
    <row r="29" ht="23.25" customHeight="1" x14ac:dyDescent="0.3"/>
    <row r="30" ht="23.25" customHeight="1" x14ac:dyDescent="0.3"/>
    <row r="31" ht="23.25" customHeight="1" x14ac:dyDescent="0.3"/>
    <row r="32" ht="23.25" customHeight="1" x14ac:dyDescent="0.3"/>
    <row r="33" ht="23.25" customHeight="1" x14ac:dyDescent="0.3"/>
    <row r="34" ht="23.25" customHeight="1" x14ac:dyDescent="0.3"/>
    <row r="35" ht="23.25" customHeight="1" x14ac:dyDescent="0.3"/>
    <row r="36" ht="23.25" customHeight="1" x14ac:dyDescent="0.3"/>
    <row r="37" ht="23.25" customHeight="1" x14ac:dyDescent="0.3"/>
    <row r="38" ht="23.25" customHeight="1" x14ac:dyDescent="0.3"/>
    <row r="39" ht="23.25" customHeight="1" x14ac:dyDescent="0.3"/>
    <row r="40" ht="23.25" customHeight="1" x14ac:dyDescent="0.3"/>
    <row r="41" ht="23.25" customHeight="1" x14ac:dyDescent="0.3"/>
    <row r="42" ht="23.25" customHeight="1" x14ac:dyDescent="0.3"/>
    <row r="43" ht="23.25" customHeight="1" x14ac:dyDescent="0.3"/>
    <row r="44" ht="23.25" customHeight="1" x14ac:dyDescent="0.3"/>
    <row r="45" ht="23.25" customHeight="1" x14ac:dyDescent="0.3"/>
    <row r="46" ht="23.25" customHeight="1" x14ac:dyDescent="0.3"/>
    <row r="47" ht="23.25" customHeight="1" x14ac:dyDescent="0.3"/>
    <row r="48" ht="23.25" customHeight="1" x14ac:dyDescent="0.3"/>
    <row r="49" ht="23.25" customHeight="1" x14ac:dyDescent="0.3"/>
    <row r="50" ht="23.25" customHeight="1" x14ac:dyDescent="0.3"/>
    <row r="51" ht="23.25" customHeight="1" x14ac:dyDescent="0.3"/>
    <row r="52" ht="23.25" customHeight="1" x14ac:dyDescent="0.3"/>
    <row r="53" ht="23.25" customHeight="1" x14ac:dyDescent="0.3"/>
    <row r="54" ht="23.25" customHeight="1" x14ac:dyDescent="0.3"/>
    <row r="55" ht="23.25" customHeight="1" x14ac:dyDescent="0.3"/>
    <row r="56" ht="23.25" customHeight="1" x14ac:dyDescent="0.3"/>
    <row r="57" ht="23.25" customHeight="1" x14ac:dyDescent="0.3"/>
    <row r="58" ht="23.25" customHeight="1" x14ac:dyDescent="0.3"/>
    <row r="59" ht="23.25" customHeight="1" x14ac:dyDescent="0.3"/>
    <row r="60" ht="23.25" customHeight="1" x14ac:dyDescent="0.3"/>
    <row r="61" ht="23.25" customHeight="1" x14ac:dyDescent="0.3"/>
    <row r="62" ht="23.25" customHeight="1" x14ac:dyDescent="0.3"/>
    <row r="63" ht="23.25" customHeight="1" x14ac:dyDescent="0.3"/>
    <row r="64" ht="23.25" customHeight="1" x14ac:dyDescent="0.3"/>
    <row r="65" ht="23.25" customHeight="1" x14ac:dyDescent="0.3"/>
    <row r="66" ht="23.25" customHeight="1" x14ac:dyDescent="0.3"/>
    <row r="67" ht="23.25" customHeight="1" x14ac:dyDescent="0.3"/>
    <row r="68" ht="23.25" customHeight="1" x14ac:dyDescent="0.3"/>
    <row r="69" ht="23.25" customHeight="1" x14ac:dyDescent="0.3"/>
    <row r="70" ht="23.25" customHeight="1" x14ac:dyDescent="0.3"/>
    <row r="71" ht="23.25" customHeight="1" x14ac:dyDescent="0.3"/>
    <row r="72" ht="23.25" customHeight="1" x14ac:dyDescent="0.3"/>
    <row r="73" ht="23.25" customHeight="1" x14ac:dyDescent="0.3"/>
    <row r="74" ht="23.25" customHeight="1" x14ac:dyDescent="0.3"/>
    <row r="75" ht="23.25" customHeight="1" x14ac:dyDescent="0.3"/>
    <row r="76" ht="23.25" customHeight="1" x14ac:dyDescent="0.3"/>
    <row r="77" ht="23.25" customHeight="1" x14ac:dyDescent="0.3"/>
    <row r="78" ht="23.25" customHeight="1" x14ac:dyDescent="0.3"/>
    <row r="79" ht="23.25" customHeight="1" x14ac:dyDescent="0.3"/>
    <row r="80" ht="23.25" customHeight="1" x14ac:dyDescent="0.3"/>
    <row r="81" ht="23.25" customHeight="1" x14ac:dyDescent="0.3"/>
    <row r="82" ht="23.25" customHeight="1" x14ac:dyDescent="0.3"/>
    <row r="83" ht="23.25" customHeight="1" x14ac:dyDescent="0.3"/>
    <row r="84" ht="23.25" customHeight="1" x14ac:dyDescent="0.3"/>
    <row r="85" ht="23.25" customHeight="1" x14ac:dyDescent="0.3"/>
    <row r="86" ht="23.25" customHeight="1" x14ac:dyDescent="0.3"/>
    <row r="87" ht="23.25" customHeight="1" x14ac:dyDescent="0.3"/>
    <row r="88" ht="23.25" customHeight="1" x14ac:dyDescent="0.3"/>
    <row r="89" ht="23.25" customHeight="1" x14ac:dyDescent="0.3"/>
    <row r="90" ht="23.25" customHeight="1" x14ac:dyDescent="0.3"/>
    <row r="91" ht="23.25" customHeight="1" x14ac:dyDescent="0.3"/>
    <row r="92" ht="23.25" customHeight="1" x14ac:dyDescent="0.3"/>
    <row r="93" ht="23.25" customHeight="1" x14ac:dyDescent="0.3"/>
    <row r="94" ht="23.25" customHeight="1" x14ac:dyDescent="0.3"/>
    <row r="95" ht="23.25" customHeight="1" x14ac:dyDescent="0.3"/>
    <row r="96" ht="23.25" customHeight="1" x14ac:dyDescent="0.3"/>
    <row r="97" ht="23.25" customHeight="1" x14ac:dyDescent="0.3"/>
    <row r="98" ht="23.25" customHeight="1" x14ac:dyDescent="0.3"/>
    <row r="99" ht="23.25" customHeight="1" x14ac:dyDescent="0.3"/>
  </sheetData>
  <conditionalFormatting sqref="A2:M9">
    <cfRule type="expression" dxfId="48" priority="2">
      <formula>$G2="Critical"</formula>
    </cfRule>
    <cfRule type="expression" dxfId="47" priority="3">
      <formula>$G2="High"</formula>
    </cfRule>
    <cfRule type="expression" dxfId="46" priority="4">
      <formula>AND($L2="Open",$B2&lt;TODAY()-1)</formula>
    </cfRule>
  </conditionalFormatting>
  <conditionalFormatting sqref="M10:M100">
    <cfRule type="expression" dxfId="45" priority="8">
      <formula>$G10="Critical"</formula>
    </cfRule>
    <cfRule type="expression" dxfId="44" priority="9">
      <formula>$G10="High"</formula>
    </cfRule>
    <cfRule type="expression" dxfId="43" priority="10">
      <formula>AND($L10="Open",$B10&lt;TODAY()-1)</formula>
    </cfRule>
  </conditionalFormatting>
  <conditionalFormatting sqref="A10:L100">
    <cfRule type="expression" dxfId="42" priority="11">
      <formula>$G10="Critical"</formula>
    </cfRule>
    <cfRule type="expression" dxfId="41" priority="12">
      <formula>$G10="High"</formula>
    </cfRule>
    <cfRule type="expression" dxfId="40" priority="13">
      <formula>AND($L10="Open",$B10&lt;TODAY()-1)</formula>
    </cfRule>
  </conditionalFormatting>
  <dataValidations count="4">
    <dataValidation type="list" allowBlank="1" errorTitle="Invalid Entry" error="Please select from the list" sqref="G2:G100" xr:uid="{00000000-0002-0000-0200-000000000000}">
      <formula1>"Critical,High,Medium,Low"</formula1>
      <formula2>0</formula2>
    </dataValidation>
    <dataValidation type="list" allowBlank="1" sqref="L2:L100" xr:uid="{00000000-0002-0000-0200-000001000000}">
      <formula1>"Open,In Progress,Resolved,Closed,On Hold"</formula1>
      <formula2>0</formula2>
    </dataValidation>
    <dataValidation type="list" allowBlank="1" sqref="F2:F100" xr:uid="{00000000-0002-0000-0200-000002000000}">
      <formula1>"Yes,No"</formula1>
      <formula2>0</formula2>
    </dataValidation>
    <dataValidation type="list" allowBlank="1" sqref="M2:M100" xr:uid="{00000000-0002-0000-0200-000003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8"/>
  <sheetViews>
    <sheetView zoomScaleNormal="100" workbookViewId="0">
      <pane ySplit="1" topLeftCell="A25" activePane="bottomLeft" state="frozen"/>
      <selection pane="bottomLeft" activeCell="G37" sqref="G37"/>
    </sheetView>
  </sheetViews>
  <sheetFormatPr defaultColWidth="8.6640625" defaultRowHeight="14.4" x14ac:dyDescent="0.3"/>
  <cols>
    <col min="1" max="1" width="15.88671875" style="124" bestFit="1" customWidth="1"/>
    <col min="2" max="2" width="12.6640625" style="19" bestFit="1" customWidth="1"/>
    <col min="3" max="3" width="9.33203125" style="19" bestFit="1" customWidth="1"/>
    <col min="4" max="4" width="11.44140625" style="19" bestFit="1" customWidth="1"/>
    <col min="5" max="5" width="12.77734375" style="19" bestFit="1" customWidth="1"/>
    <col min="6" max="6" width="16.6640625" style="19" bestFit="1" customWidth="1"/>
    <col min="7" max="7" width="11.109375" style="19" bestFit="1" customWidth="1"/>
    <col min="8" max="8" width="14.44140625" style="19" bestFit="1" customWidth="1"/>
    <col min="9" max="9" width="11" style="19" bestFit="1" customWidth="1"/>
    <col min="10" max="10" width="10" bestFit="1" customWidth="1"/>
    <col min="11" max="11" width="12.21875" bestFit="1" customWidth="1"/>
  </cols>
  <sheetData>
    <row r="1" spans="1:10" x14ac:dyDescent="0.3">
      <c r="A1" s="124" t="s">
        <v>143</v>
      </c>
      <c r="B1" t="s">
        <v>107</v>
      </c>
      <c r="C1" t="s">
        <v>20</v>
      </c>
      <c r="D1" t="s">
        <v>108</v>
      </c>
      <c r="E1" t="s">
        <v>109</v>
      </c>
      <c r="F1" t="s">
        <v>21</v>
      </c>
      <c r="G1" t="s">
        <v>110</v>
      </c>
      <c r="H1" t="s">
        <v>145</v>
      </c>
      <c r="I1" t="s">
        <v>13</v>
      </c>
      <c r="J1" t="s">
        <v>2</v>
      </c>
    </row>
    <row r="2" spans="1:10" x14ac:dyDescent="0.3">
      <c r="A2" s="124">
        <v>46227</v>
      </c>
      <c r="B2" t="s">
        <v>174</v>
      </c>
      <c r="C2" t="s">
        <v>175</v>
      </c>
      <c r="D2" t="s">
        <v>111</v>
      </c>
      <c r="E2" t="s">
        <v>111</v>
      </c>
      <c r="F2">
        <v>0</v>
      </c>
      <c r="G2" t="s">
        <v>146</v>
      </c>
      <c r="H2" t="s">
        <v>58</v>
      </c>
      <c r="I2" t="s">
        <v>18</v>
      </c>
      <c r="J2" t="s">
        <v>11</v>
      </c>
    </row>
    <row r="3" spans="1:10" x14ac:dyDescent="0.3">
      <c r="A3" s="124">
        <v>46225</v>
      </c>
      <c r="B3" s="19" t="s">
        <v>174</v>
      </c>
      <c r="C3" s="19" t="s">
        <v>175</v>
      </c>
      <c r="D3" s="19" t="s">
        <v>111</v>
      </c>
      <c r="E3" s="19" t="s">
        <v>111</v>
      </c>
      <c r="F3" s="19">
        <v>0</v>
      </c>
      <c r="G3" s="19" t="s">
        <v>146</v>
      </c>
      <c r="H3" s="19" t="s">
        <v>58</v>
      </c>
      <c r="I3" s="19" t="s">
        <v>18</v>
      </c>
      <c r="J3" s="19" t="s">
        <v>11</v>
      </c>
    </row>
    <row r="4" spans="1:10" x14ac:dyDescent="0.3">
      <c r="A4" s="124">
        <v>46225</v>
      </c>
      <c r="B4" s="19" t="s">
        <v>174</v>
      </c>
      <c r="C4" s="19" t="s">
        <v>175</v>
      </c>
      <c r="D4" s="19" t="s">
        <v>111</v>
      </c>
      <c r="E4" s="19" t="s">
        <v>111</v>
      </c>
      <c r="F4" s="19">
        <v>0</v>
      </c>
      <c r="G4" s="19" t="s">
        <v>146</v>
      </c>
      <c r="H4" s="19" t="s">
        <v>58</v>
      </c>
      <c r="I4" s="19" t="s">
        <v>18</v>
      </c>
      <c r="J4" s="19" t="s">
        <v>11</v>
      </c>
    </row>
    <row r="5" spans="1:10" x14ac:dyDescent="0.3">
      <c r="A5" s="124">
        <v>46225</v>
      </c>
      <c r="B5" s="19" t="s">
        <v>174</v>
      </c>
      <c r="C5" s="19" t="s">
        <v>175</v>
      </c>
      <c r="D5" s="19" t="s">
        <v>111</v>
      </c>
      <c r="E5" s="19" t="s">
        <v>111</v>
      </c>
      <c r="F5" s="19">
        <v>0</v>
      </c>
      <c r="G5" s="19" t="s">
        <v>146</v>
      </c>
      <c r="H5" s="19" t="s">
        <v>58</v>
      </c>
      <c r="I5" s="19" t="s">
        <v>18</v>
      </c>
      <c r="J5" s="19" t="s">
        <v>11</v>
      </c>
    </row>
    <row r="6" spans="1:10" x14ac:dyDescent="0.3">
      <c r="A6" s="124">
        <v>46225</v>
      </c>
      <c r="B6" s="19" t="s">
        <v>174</v>
      </c>
      <c r="C6" s="19" t="s">
        <v>175</v>
      </c>
      <c r="D6" s="19" t="s">
        <v>111</v>
      </c>
      <c r="E6" s="19" t="s">
        <v>111</v>
      </c>
      <c r="F6" s="19">
        <v>0</v>
      </c>
      <c r="G6" s="19" t="s">
        <v>146</v>
      </c>
      <c r="H6" s="19" t="s">
        <v>58</v>
      </c>
      <c r="I6" s="19" t="s">
        <v>18</v>
      </c>
      <c r="J6" s="19" t="s">
        <v>11</v>
      </c>
    </row>
    <row r="7" spans="1:10" x14ac:dyDescent="0.3">
      <c r="A7" s="124">
        <v>46225</v>
      </c>
      <c r="B7" s="19" t="s">
        <v>174</v>
      </c>
      <c r="C7" s="19" t="s">
        <v>175</v>
      </c>
      <c r="D7" s="19" t="s">
        <v>111</v>
      </c>
      <c r="E7" s="19" t="s">
        <v>111</v>
      </c>
      <c r="F7" s="19">
        <v>0</v>
      </c>
      <c r="G7" s="19" t="s">
        <v>146</v>
      </c>
      <c r="H7" s="19" t="s">
        <v>58</v>
      </c>
      <c r="I7" s="19" t="s">
        <v>18</v>
      </c>
      <c r="J7" s="19" t="s">
        <v>11</v>
      </c>
    </row>
    <row r="8" spans="1:10" x14ac:dyDescent="0.3">
      <c r="A8" s="124">
        <v>46225</v>
      </c>
      <c r="B8" s="19" t="s">
        <v>174</v>
      </c>
      <c r="C8" s="19" t="s">
        <v>175</v>
      </c>
      <c r="D8" s="19" t="s">
        <v>111</v>
      </c>
      <c r="E8" s="19" t="s">
        <v>111</v>
      </c>
      <c r="F8" s="19">
        <v>0</v>
      </c>
      <c r="G8" s="19" t="s">
        <v>146</v>
      </c>
      <c r="H8" s="19" t="s">
        <v>58</v>
      </c>
      <c r="I8" s="19" t="s">
        <v>18</v>
      </c>
      <c r="J8" s="19" t="s">
        <v>11</v>
      </c>
    </row>
    <row r="9" spans="1:10" x14ac:dyDescent="0.3">
      <c r="A9" s="124">
        <v>46225</v>
      </c>
      <c r="B9" s="19" t="s">
        <v>174</v>
      </c>
      <c r="C9" s="19" t="s">
        <v>175</v>
      </c>
      <c r="D9" s="19" t="s">
        <v>111</v>
      </c>
      <c r="E9" s="19" t="s">
        <v>111</v>
      </c>
      <c r="F9" s="19">
        <v>0</v>
      </c>
      <c r="G9" s="19" t="s">
        <v>146</v>
      </c>
      <c r="H9" s="19" t="s">
        <v>58</v>
      </c>
      <c r="I9" s="19" t="s">
        <v>18</v>
      </c>
      <c r="J9" s="19" t="s">
        <v>11</v>
      </c>
    </row>
    <row r="10" spans="1:10" x14ac:dyDescent="0.3">
      <c r="A10" s="124">
        <v>46225</v>
      </c>
      <c r="B10" s="19" t="s">
        <v>174</v>
      </c>
      <c r="C10" s="19" t="s">
        <v>175</v>
      </c>
      <c r="D10" s="19" t="s">
        <v>111</v>
      </c>
      <c r="E10" s="19" t="s">
        <v>111</v>
      </c>
      <c r="F10" s="19">
        <v>0</v>
      </c>
      <c r="G10" s="19" t="s">
        <v>146</v>
      </c>
      <c r="H10" s="19" t="s">
        <v>58</v>
      </c>
      <c r="I10" s="19" t="s">
        <v>18</v>
      </c>
      <c r="J10" s="19" t="s">
        <v>11</v>
      </c>
    </row>
    <row r="11" spans="1:10" x14ac:dyDescent="0.3">
      <c r="A11" s="124">
        <v>46225</v>
      </c>
      <c r="B11" s="19" t="s">
        <v>174</v>
      </c>
      <c r="C11" s="19" t="s">
        <v>175</v>
      </c>
      <c r="D11" s="19" t="s">
        <v>111</v>
      </c>
      <c r="E11" s="19" t="s">
        <v>111</v>
      </c>
      <c r="F11" s="19">
        <v>0</v>
      </c>
      <c r="G11" s="19" t="s">
        <v>146</v>
      </c>
      <c r="H11" s="19" t="s">
        <v>58</v>
      </c>
      <c r="I11" s="19" t="s">
        <v>18</v>
      </c>
      <c r="J11" s="19" t="s">
        <v>11</v>
      </c>
    </row>
    <row r="12" spans="1:10" x14ac:dyDescent="0.3">
      <c r="A12" s="124">
        <v>46225</v>
      </c>
      <c r="B12" s="19" t="s">
        <v>174</v>
      </c>
      <c r="C12" s="19" t="s">
        <v>175</v>
      </c>
      <c r="D12" s="19" t="s">
        <v>111</v>
      </c>
      <c r="E12" s="19" t="s">
        <v>111</v>
      </c>
      <c r="F12" s="19">
        <v>0</v>
      </c>
      <c r="G12" s="19" t="s">
        <v>146</v>
      </c>
      <c r="H12" s="19" t="s">
        <v>58</v>
      </c>
      <c r="I12" s="19" t="s">
        <v>18</v>
      </c>
      <c r="J12" s="19" t="s">
        <v>11</v>
      </c>
    </row>
    <row r="13" spans="1:10" x14ac:dyDescent="0.3">
      <c r="A13" s="124">
        <v>46225</v>
      </c>
      <c r="B13" s="19" t="s">
        <v>174</v>
      </c>
      <c r="C13" s="19" t="s">
        <v>175</v>
      </c>
      <c r="D13" s="19" t="s">
        <v>111</v>
      </c>
      <c r="E13" s="19" t="s">
        <v>111</v>
      </c>
      <c r="F13" s="19">
        <v>0</v>
      </c>
      <c r="G13" s="19" t="s">
        <v>146</v>
      </c>
      <c r="H13" s="19" t="s">
        <v>58</v>
      </c>
      <c r="I13" s="19" t="s">
        <v>18</v>
      </c>
      <c r="J13" s="19" t="s">
        <v>11</v>
      </c>
    </row>
    <row r="14" spans="1:10" x14ac:dyDescent="0.3">
      <c r="A14" s="124">
        <v>46225</v>
      </c>
      <c r="B14" s="19" t="s">
        <v>174</v>
      </c>
      <c r="C14" s="19" t="s">
        <v>175</v>
      </c>
      <c r="D14" s="19" t="s">
        <v>111</v>
      </c>
      <c r="E14" s="19" t="s">
        <v>111</v>
      </c>
      <c r="F14" s="19">
        <v>0</v>
      </c>
      <c r="G14" s="19" t="s">
        <v>146</v>
      </c>
      <c r="H14" s="19" t="s">
        <v>58</v>
      </c>
      <c r="I14" s="19" t="s">
        <v>18</v>
      </c>
      <c r="J14" s="19" t="s">
        <v>11</v>
      </c>
    </row>
    <row r="15" spans="1:10" x14ac:dyDescent="0.3">
      <c r="A15" s="124">
        <v>46225</v>
      </c>
      <c r="B15" s="19" t="s">
        <v>174</v>
      </c>
      <c r="C15" s="19" t="s">
        <v>175</v>
      </c>
      <c r="D15" s="19" t="s">
        <v>111</v>
      </c>
      <c r="E15" s="19" t="s">
        <v>111</v>
      </c>
      <c r="F15" s="19">
        <v>0</v>
      </c>
      <c r="G15" s="19" t="s">
        <v>146</v>
      </c>
      <c r="H15" s="19" t="s">
        <v>58</v>
      </c>
      <c r="I15" s="19" t="s">
        <v>18</v>
      </c>
      <c r="J15" s="19" t="s">
        <v>11</v>
      </c>
    </row>
    <row r="16" spans="1:10" x14ac:dyDescent="0.3">
      <c r="A16" s="124">
        <v>46225</v>
      </c>
      <c r="B16" s="19" t="s">
        <v>174</v>
      </c>
      <c r="C16" s="19" t="s">
        <v>175</v>
      </c>
      <c r="D16" s="19" t="s">
        <v>111</v>
      </c>
      <c r="E16" s="19" t="s">
        <v>111</v>
      </c>
      <c r="F16" s="19">
        <v>0</v>
      </c>
      <c r="G16" s="19" t="s">
        <v>146</v>
      </c>
      <c r="H16" s="19" t="s">
        <v>58</v>
      </c>
      <c r="I16" s="19" t="s">
        <v>18</v>
      </c>
      <c r="J16" s="19" t="s">
        <v>11</v>
      </c>
    </row>
    <row r="17" spans="1:10" x14ac:dyDescent="0.3">
      <c r="A17" s="124">
        <v>46225</v>
      </c>
      <c r="B17" s="19" t="s">
        <v>174</v>
      </c>
      <c r="C17" s="19" t="s">
        <v>175</v>
      </c>
      <c r="D17" s="19" t="s">
        <v>111</v>
      </c>
      <c r="E17" s="19" t="s">
        <v>111</v>
      </c>
      <c r="F17" s="19">
        <v>0</v>
      </c>
      <c r="G17" s="19" t="s">
        <v>146</v>
      </c>
      <c r="H17" s="19" t="s">
        <v>58</v>
      </c>
      <c r="I17" s="19" t="s">
        <v>18</v>
      </c>
      <c r="J17" s="19" t="s">
        <v>11</v>
      </c>
    </row>
    <row r="18" spans="1:10" x14ac:dyDescent="0.3">
      <c r="A18" s="124">
        <v>46224</v>
      </c>
      <c r="B18" s="19" t="s">
        <v>174</v>
      </c>
      <c r="C18" s="19" t="s">
        <v>175</v>
      </c>
      <c r="D18" s="19" t="s">
        <v>111</v>
      </c>
      <c r="E18" s="19" t="s">
        <v>111</v>
      </c>
      <c r="F18" s="19">
        <v>0</v>
      </c>
      <c r="G18" s="19" t="s">
        <v>146</v>
      </c>
      <c r="H18" s="19" t="s">
        <v>58</v>
      </c>
      <c r="I18" s="19" t="s">
        <v>18</v>
      </c>
      <c r="J18" s="19" t="s">
        <v>11</v>
      </c>
    </row>
    <row r="19" spans="1:10" x14ac:dyDescent="0.3">
      <c r="A19" s="124">
        <v>46224</v>
      </c>
      <c r="B19" s="19" t="s">
        <v>174</v>
      </c>
      <c r="C19" s="19" t="s">
        <v>175</v>
      </c>
      <c r="D19" s="19" t="s">
        <v>111</v>
      </c>
      <c r="E19" s="19" t="s">
        <v>111</v>
      </c>
      <c r="F19" s="19">
        <v>0</v>
      </c>
      <c r="G19" s="19" t="s">
        <v>146</v>
      </c>
      <c r="H19" s="19" t="s">
        <v>58</v>
      </c>
      <c r="I19" s="19" t="s">
        <v>18</v>
      </c>
      <c r="J19" s="19" t="s">
        <v>11</v>
      </c>
    </row>
    <row r="20" spans="1:10" x14ac:dyDescent="0.3">
      <c r="A20" s="124">
        <v>46224</v>
      </c>
      <c r="B20" s="19" t="s">
        <v>174</v>
      </c>
      <c r="C20" s="19" t="s">
        <v>175</v>
      </c>
      <c r="D20" s="19" t="s">
        <v>111</v>
      </c>
      <c r="E20" s="19" t="s">
        <v>111</v>
      </c>
      <c r="F20" s="19">
        <v>0</v>
      </c>
      <c r="G20" s="19" t="s">
        <v>146</v>
      </c>
      <c r="H20" s="19" t="s">
        <v>58</v>
      </c>
      <c r="I20" s="19" t="s">
        <v>18</v>
      </c>
      <c r="J20" s="19" t="s">
        <v>11</v>
      </c>
    </row>
    <row r="21" spans="1:10" x14ac:dyDescent="0.3">
      <c r="A21" s="124">
        <v>46224</v>
      </c>
      <c r="B21" s="19" t="s">
        <v>174</v>
      </c>
      <c r="C21" s="19" t="s">
        <v>175</v>
      </c>
      <c r="D21" s="19" t="s">
        <v>111</v>
      </c>
      <c r="E21" s="19" t="s">
        <v>111</v>
      </c>
      <c r="F21" s="19">
        <v>0</v>
      </c>
      <c r="G21" s="19" t="s">
        <v>146</v>
      </c>
      <c r="H21" s="19" t="s">
        <v>58</v>
      </c>
      <c r="I21" s="19" t="s">
        <v>18</v>
      </c>
      <c r="J21" s="19" t="s">
        <v>11</v>
      </c>
    </row>
    <row r="22" spans="1:10" x14ac:dyDescent="0.3">
      <c r="A22" s="124">
        <v>46224</v>
      </c>
      <c r="B22" s="19" t="s">
        <v>174</v>
      </c>
      <c r="C22" s="19" t="s">
        <v>175</v>
      </c>
      <c r="D22" s="19" t="s">
        <v>111</v>
      </c>
      <c r="E22" s="19" t="s">
        <v>111</v>
      </c>
      <c r="F22" s="19">
        <v>0</v>
      </c>
      <c r="G22" s="19" t="s">
        <v>146</v>
      </c>
      <c r="H22" s="19" t="s">
        <v>58</v>
      </c>
      <c r="I22" s="19" t="s">
        <v>18</v>
      </c>
      <c r="J22" s="19" t="s">
        <v>11</v>
      </c>
    </row>
    <row r="23" spans="1:10" x14ac:dyDescent="0.3">
      <c r="A23" s="124">
        <v>46224</v>
      </c>
      <c r="B23" s="19" t="s">
        <v>174</v>
      </c>
      <c r="C23" s="19" t="s">
        <v>175</v>
      </c>
      <c r="D23" s="19" t="s">
        <v>111</v>
      </c>
      <c r="E23" s="19" t="s">
        <v>111</v>
      </c>
      <c r="F23" s="19">
        <v>0</v>
      </c>
      <c r="G23" s="19" t="s">
        <v>146</v>
      </c>
      <c r="H23" s="19" t="s">
        <v>58</v>
      </c>
      <c r="I23" s="19" t="s">
        <v>18</v>
      </c>
      <c r="J23" s="19" t="s">
        <v>11</v>
      </c>
    </row>
    <row r="24" spans="1:10" x14ac:dyDescent="0.3">
      <c r="A24" s="124">
        <v>46224</v>
      </c>
      <c r="B24" s="19" t="s">
        <v>174</v>
      </c>
      <c r="C24" s="19" t="s">
        <v>175</v>
      </c>
      <c r="D24" s="19" t="s">
        <v>111</v>
      </c>
      <c r="E24" s="19" t="s">
        <v>111</v>
      </c>
      <c r="F24" s="19">
        <v>0</v>
      </c>
      <c r="G24" s="19" t="s">
        <v>146</v>
      </c>
      <c r="H24" s="19" t="s">
        <v>58</v>
      </c>
      <c r="I24" s="19" t="s">
        <v>18</v>
      </c>
      <c r="J24" s="19" t="s">
        <v>11</v>
      </c>
    </row>
    <row r="25" spans="1:10" x14ac:dyDescent="0.3">
      <c r="A25" s="124">
        <v>46224</v>
      </c>
      <c r="B25" s="19" t="s">
        <v>174</v>
      </c>
      <c r="C25" s="19" t="s">
        <v>175</v>
      </c>
      <c r="D25" s="19" t="s">
        <v>111</v>
      </c>
      <c r="E25" s="19" t="s">
        <v>111</v>
      </c>
      <c r="F25" s="19">
        <v>0</v>
      </c>
      <c r="G25" s="19" t="s">
        <v>146</v>
      </c>
      <c r="H25" s="19" t="s">
        <v>58</v>
      </c>
      <c r="I25" s="19" t="s">
        <v>18</v>
      </c>
      <c r="J25" s="19" t="s">
        <v>11</v>
      </c>
    </row>
    <row r="26" spans="1:10" x14ac:dyDescent="0.3">
      <c r="A26" s="124">
        <v>46224</v>
      </c>
      <c r="B26" s="19" t="s">
        <v>174</v>
      </c>
      <c r="C26" s="19" t="s">
        <v>175</v>
      </c>
      <c r="D26" s="19" t="s">
        <v>111</v>
      </c>
      <c r="E26" s="19" t="s">
        <v>111</v>
      </c>
      <c r="F26" s="19">
        <v>0</v>
      </c>
      <c r="G26" s="19" t="s">
        <v>146</v>
      </c>
      <c r="H26" s="19" t="s">
        <v>58</v>
      </c>
      <c r="I26" s="19" t="s">
        <v>18</v>
      </c>
      <c r="J26" s="19" t="s">
        <v>11</v>
      </c>
    </row>
    <row r="27" spans="1:10" x14ac:dyDescent="0.3">
      <c r="A27" s="124">
        <v>46224</v>
      </c>
      <c r="B27" s="19" t="s">
        <v>174</v>
      </c>
      <c r="C27" s="19" t="s">
        <v>175</v>
      </c>
      <c r="D27" s="19" t="s">
        <v>111</v>
      </c>
      <c r="E27" s="19" t="s">
        <v>111</v>
      </c>
      <c r="F27" s="19">
        <v>0</v>
      </c>
      <c r="G27" s="19" t="s">
        <v>146</v>
      </c>
      <c r="H27" s="19" t="s">
        <v>58</v>
      </c>
      <c r="I27" s="19" t="s">
        <v>18</v>
      </c>
      <c r="J27" s="19" t="s">
        <v>11</v>
      </c>
    </row>
    <row r="28" spans="1:10" x14ac:dyDescent="0.3">
      <c r="A28" s="124">
        <v>46224</v>
      </c>
      <c r="B28" s="19" t="s">
        <v>174</v>
      </c>
      <c r="C28" s="19" t="s">
        <v>175</v>
      </c>
      <c r="D28" s="19" t="s">
        <v>111</v>
      </c>
      <c r="E28" s="19" t="s">
        <v>111</v>
      </c>
      <c r="F28" s="19">
        <v>0</v>
      </c>
      <c r="G28" s="19" t="s">
        <v>146</v>
      </c>
      <c r="H28" s="19" t="s">
        <v>58</v>
      </c>
      <c r="I28" s="19" t="s">
        <v>18</v>
      </c>
      <c r="J28" s="19" t="s">
        <v>11</v>
      </c>
    </row>
    <row r="29" spans="1:10" x14ac:dyDescent="0.3">
      <c r="A29" s="124">
        <v>46224</v>
      </c>
      <c r="B29" s="19" t="s">
        <v>174</v>
      </c>
      <c r="C29" s="19" t="s">
        <v>175</v>
      </c>
      <c r="D29" s="19" t="s">
        <v>111</v>
      </c>
      <c r="E29" s="19" t="s">
        <v>111</v>
      </c>
      <c r="F29" s="19">
        <v>0</v>
      </c>
      <c r="G29" s="19" t="s">
        <v>146</v>
      </c>
      <c r="H29" s="19" t="s">
        <v>58</v>
      </c>
      <c r="I29" s="19" t="s">
        <v>18</v>
      </c>
      <c r="J29" s="19" t="s">
        <v>11</v>
      </c>
    </row>
    <row r="30" spans="1:10" x14ac:dyDescent="0.3">
      <c r="A30" s="124">
        <v>46224</v>
      </c>
      <c r="B30" s="19" t="s">
        <v>174</v>
      </c>
      <c r="C30" s="19" t="s">
        <v>175</v>
      </c>
      <c r="D30" s="19" t="s">
        <v>111</v>
      </c>
      <c r="E30" s="19" t="s">
        <v>111</v>
      </c>
      <c r="F30" s="19">
        <v>0</v>
      </c>
      <c r="G30" s="19" t="s">
        <v>146</v>
      </c>
      <c r="H30" s="19" t="s">
        <v>58</v>
      </c>
      <c r="I30" s="19" t="s">
        <v>18</v>
      </c>
      <c r="J30" s="19" t="s">
        <v>11</v>
      </c>
    </row>
    <row r="31" spans="1:10" x14ac:dyDescent="0.3">
      <c r="A31" s="124">
        <v>46224</v>
      </c>
      <c r="B31" s="19" t="s">
        <v>174</v>
      </c>
      <c r="C31" s="19" t="s">
        <v>175</v>
      </c>
      <c r="D31" s="19" t="s">
        <v>111</v>
      </c>
      <c r="E31" s="19" t="s">
        <v>111</v>
      </c>
      <c r="F31" s="19">
        <v>0</v>
      </c>
      <c r="G31" s="19" t="s">
        <v>146</v>
      </c>
      <c r="H31" s="19" t="s">
        <v>58</v>
      </c>
      <c r="I31" s="19" t="s">
        <v>18</v>
      </c>
      <c r="J31" s="19" t="s">
        <v>11</v>
      </c>
    </row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</sheetData>
  <conditionalFormatting sqref="A32:J222">
    <cfRule type="expression" dxfId="39" priority="1" stopIfTrue="1">
      <formula>$J32="Critical"</formula>
    </cfRule>
    <cfRule type="expression" dxfId="38" priority="2" stopIfTrue="1">
      <formula>$J32="Medium"</formula>
    </cfRule>
    <cfRule type="expression" dxfId="37" priority="3" stopIfTrue="1">
      <formula>$J32="Low"</formula>
    </cfRule>
    <cfRule type="expression" dxfId="36" priority="4" stopIfTrue="1">
      <formula>$H32="Failed"</formula>
    </cfRule>
    <cfRule type="expression" dxfId="35" priority="5" stopIfTrue="1">
      <formula>$H32="Degraded"</formula>
    </cfRule>
  </conditionalFormatting>
  <dataValidations count="4">
    <dataValidation type="list" allowBlank="1" sqref="D32:E120" xr:uid="{00000000-0002-0000-0300-000000000000}">
      <formula1>"Yes,No"</formula1>
      <formula2>0</formula2>
    </dataValidation>
    <dataValidation type="list" allowBlank="1" sqref="H32:H120" xr:uid="{00000000-0002-0000-0300-000001000000}">
      <formula1>"Healthy,Degraded,Failed"</formula1>
      <formula2>0</formula2>
    </dataValidation>
    <dataValidation type="list" allowBlank="1" sqref="I32:I120" xr:uid="{00000000-0002-0000-0300-000002000000}">
      <formula1>"Oracle,MySQL,MS SQL Server,PostgreSQL"</formula1>
      <formula2>0</formula2>
    </dataValidation>
    <dataValidation type="list" allowBlank="1" promptTitle="Severity" prompt="Rate the severity of the Last Error, if any" sqref="J32:J222" xr:uid="{00000000-0002-0000-0300-000003000000}">
      <formula1>"Low,Medium,Critical"</formula1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2"/>
  <sheetViews>
    <sheetView showGridLines="0" zoomScaleNormal="100" workbookViewId="0">
      <selection activeCell="E10" sqref="E10"/>
    </sheetView>
  </sheetViews>
  <sheetFormatPr defaultColWidth="8.6640625" defaultRowHeight="14.4" x14ac:dyDescent="0.3"/>
  <cols>
    <col min="1" max="1" width="13.44140625" style="19" bestFit="1" customWidth="1"/>
    <col min="2" max="2" width="12.6640625" style="19" bestFit="1" customWidth="1"/>
    <col min="3" max="3" width="13.6640625" style="19" bestFit="1" customWidth="1"/>
    <col min="4" max="4" width="34.33203125" style="19" bestFit="1" customWidth="1"/>
    <col min="5" max="5" width="14.21875" style="19" bestFit="1" customWidth="1"/>
    <col min="6" max="6" width="35.5546875" style="19" bestFit="1" customWidth="1"/>
    <col min="7" max="8" width="14.6640625" style="19" bestFit="1" customWidth="1"/>
    <col min="9" max="9" width="15.5546875" style="21" bestFit="1" customWidth="1"/>
    <col min="10" max="10" width="10.77734375" style="21" bestFit="1" customWidth="1"/>
    <col min="11" max="11" width="60.77734375" style="19" bestFit="1" customWidth="1"/>
    <col min="12" max="12" width="9.5546875" style="19" bestFit="1" customWidth="1"/>
    <col min="13" max="13" width="15.44140625" style="19" bestFit="1" customWidth="1"/>
    <col min="14" max="14" width="13.88671875" style="19" bestFit="1" customWidth="1"/>
    <col min="15" max="15" width="11" style="19" bestFit="1" customWidth="1"/>
    <col min="16" max="16" width="12.109375" style="19" bestFit="1" customWidth="1"/>
    <col min="17" max="17" width="11.5546875" style="19" bestFit="1" customWidth="1"/>
    <col min="18" max="18" width="12.109375" style="19" bestFit="1" customWidth="1"/>
    <col min="19" max="20" width="14.6640625" bestFit="1" customWidth="1"/>
    <col min="21" max="21" width="15.33203125" bestFit="1" customWidth="1"/>
  </cols>
  <sheetData>
    <row r="1" spans="1:18" x14ac:dyDescent="0.3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/>
      <c r="R1"/>
    </row>
    <row r="2" spans="1:18" s="31" customFormat="1" x14ac:dyDescent="0.3">
      <c r="A2" s="31" t="s">
        <v>112</v>
      </c>
      <c r="B2" s="31" t="s">
        <v>18</v>
      </c>
      <c r="C2" s="119">
        <v>46204</v>
      </c>
      <c r="D2" s="31" t="s">
        <v>176</v>
      </c>
      <c r="E2" s="31" t="s">
        <v>113</v>
      </c>
      <c r="F2" s="31" t="s">
        <v>194</v>
      </c>
      <c r="G2" s="119">
        <v>46204.874328703707</v>
      </c>
      <c r="H2" s="119">
        <v>46204.875</v>
      </c>
      <c r="I2" s="31">
        <v>0.97</v>
      </c>
      <c r="J2" s="31" t="s">
        <v>6</v>
      </c>
      <c r="K2" s="31" t="s">
        <v>195</v>
      </c>
      <c r="L2" s="31">
        <v>1</v>
      </c>
      <c r="M2" s="31">
        <v>0</v>
      </c>
      <c r="N2" s="31">
        <v>1</v>
      </c>
      <c r="O2" s="31" t="s">
        <v>196</v>
      </c>
      <c r="P2" s="31" t="s">
        <v>146</v>
      </c>
    </row>
    <row r="3" spans="1:18" s="37" customFormat="1" x14ac:dyDescent="0.3">
      <c r="A3" s="37" t="s">
        <v>112</v>
      </c>
      <c r="B3" s="37" t="s">
        <v>18</v>
      </c>
      <c r="C3" s="119">
        <v>46205</v>
      </c>
      <c r="D3" s="37" t="s">
        <v>176</v>
      </c>
      <c r="E3" s="37" t="s">
        <v>113</v>
      </c>
      <c r="F3" s="37" t="s">
        <v>197</v>
      </c>
      <c r="G3" s="119">
        <v>46205.87431712963</v>
      </c>
      <c r="H3" s="119">
        <v>46205.874525462961</v>
      </c>
      <c r="I3" s="37">
        <v>0.3</v>
      </c>
      <c r="J3" s="37" t="s">
        <v>6</v>
      </c>
      <c r="K3" s="37" t="s">
        <v>198</v>
      </c>
      <c r="L3" s="37">
        <v>1</v>
      </c>
      <c r="M3" s="37">
        <v>0</v>
      </c>
      <c r="N3" s="37">
        <v>1</v>
      </c>
      <c r="O3" s="37" t="s">
        <v>196</v>
      </c>
      <c r="P3" s="37" t="s">
        <v>146</v>
      </c>
    </row>
    <row r="4" spans="1:18" x14ac:dyDescent="0.3">
      <c r="A4" t="s">
        <v>112</v>
      </c>
      <c r="B4" t="s">
        <v>18</v>
      </c>
      <c r="C4" s="119">
        <v>46207</v>
      </c>
      <c r="D4" t="s">
        <v>176</v>
      </c>
      <c r="E4" t="s">
        <v>114</v>
      </c>
      <c r="F4" t="s">
        <v>199</v>
      </c>
      <c r="G4" s="119">
        <v>46207.87431712963</v>
      </c>
      <c r="H4" s="119">
        <v>46207.890370370369</v>
      </c>
      <c r="I4">
        <v>23.12</v>
      </c>
      <c r="J4" t="s">
        <v>6</v>
      </c>
      <c r="K4" t="s">
        <v>200</v>
      </c>
      <c r="L4">
        <v>1</v>
      </c>
      <c r="M4">
        <v>0</v>
      </c>
      <c r="N4">
        <v>1</v>
      </c>
      <c r="O4" t="s">
        <v>201</v>
      </c>
      <c r="P4" t="s">
        <v>146</v>
      </c>
      <c r="Q4"/>
      <c r="R4"/>
    </row>
    <row r="5" spans="1:18" x14ac:dyDescent="0.3">
      <c r="A5" t="s">
        <v>112</v>
      </c>
      <c r="B5" t="s">
        <v>18</v>
      </c>
      <c r="C5" s="119">
        <v>46208</v>
      </c>
      <c r="D5" t="s">
        <v>176</v>
      </c>
      <c r="E5" t="s">
        <v>113</v>
      </c>
      <c r="F5" t="s">
        <v>202</v>
      </c>
      <c r="G5" s="119">
        <v>46208.87431712963</v>
      </c>
      <c r="H5" s="119">
        <v>46208.874513888892</v>
      </c>
      <c r="I5">
        <v>0.28000000000000003</v>
      </c>
      <c r="J5" t="s">
        <v>6</v>
      </c>
      <c r="K5" t="s">
        <v>203</v>
      </c>
      <c r="L5">
        <v>1</v>
      </c>
      <c r="M5">
        <v>0</v>
      </c>
      <c r="N5">
        <v>1</v>
      </c>
      <c r="O5" t="s">
        <v>196</v>
      </c>
      <c r="P5" t="s">
        <v>146</v>
      </c>
      <c r="Q5"/>
      <c r="R5"/>
    </row>
    <row r="6" spans="1:18" x14ac:dyDescent="0.3">
      <c r="A6" t="s">
        <v>112</v>
      </c>
      <c r="B6" t="s">
        <v>18</v>
      </c>
      <c r="C6" s="119">
        <v>46209</v>
      </c>
      <c r="D6" t="s">
        <v>176</v>
      </c>
      <c r="E6" t="s">
        <v>113</v>
      </c>
      <c r="F6" t="s">
        <v>204</v>
      </c>
      <c r="G6" s="119">
        <v>46209.87431712963</v>
      </c>
      <c r="H6" s="119">
        <v>46209.87462962963</v>
      </c>
      <c r="I6">
        <v>0.45</v>
      </c>
      <c r="J6" t="s">
        <v>6</v>
      </c>
      <c r="K6" t="s">
        <v>205</v>
      </c>
      <c r="L6">
        <v>1</v>
      </c>
      <c r="M6">
        <v>0</v>
      </c>
      <c r="N6">
        <v>1</v>
      </c>
      <c r="O6" t="s">
        <v>196</v>
      </c>
      <c r="P6" t="s">
        <v>146</v>
      </c>
      <c r="Q6"/>
      <c r="R6"/>
    </row>
    <row r="7" spans="1:18" x14ac:dyDescent="0.3">
      <c r="A7" t="s">
        <v>112</v>
      </c>
      <c r="B7" t="s">
        <v>18</v>
      </c>
      <c r="C7" s="119">
        <v>46210</v>
      </c>
      <c r="D7" t="s">
        <v>176</v>
      </c>
      <c r="E7" t="s">
        <v>113</v>
      </c>
      <c r="F7" t="s">
        <v>206</v>
      </c>
      <c r="G7" s="119">
        <v>46210.874328703707</v>
      </c>
      <c r="H7" s="119">
        <v>46210.875104166669</v>
      </c>
      <c r="I7">
        <v>1.1200000000000001</v>
      </c>
      <c r="J7" t="s">
        <v>6</v>
      </c>
      <c r="K7" t="s">
        <v>207</v>
      </c>
      <c r="L7">
        <v>1</v>
      </c>
      <c r="M7">
        <v>0</v>
      </c>
      <c r="N7">
        <v>1</v>
      </c>
      <c r="O7" t="s">
        <v>196</v>
      </c>
      <c r="P7" t="s">
        <v>146</v>
      </c>
      <c r="Q7"/>
      <c r="R7"/>
    </row>
    <row r="8" spans="1:18" x14ac:dyDescent="0.3">
      <c r="A8" t="s">
        <v>112</v>
      </c>
      <c r="B8" t="s">
        <v>18</v>
      </c>
      <c r="C8" s="119">
        <v>46211</v>
      </c>
      <c r="D8" t="s">
        <v>176</v>
      </c>
      <c r="E8" t="s">
        <v>113</v>
      </c>
      <c r="F8" t="s">
        <v>208</v>
      </c>
      <c r="G8" s="119">
        <v>46211.874328703707</v>
      </c>
      <c r="H8" s="119">
        <v>46211.879942129628</v>
      </c>
      <c r="I8">
        <v>8.08</v>
      </c>
      <c r="J8" t="s">
        <v>6</v>
      </c>
      <c r="K8" t="s">
        <v>209</v>
      </c>
      <c r="L8">
        <v>1</v>
      </c>
      <c r="M8">
        <v>0</v>
      </c>
      <c r="N8">
        <v>1</v>
      </c>
      <c r="O8" t="s">
        <v>196</v>
      </c>
      <c r="P8" t="s">
        <v>146</v>
      </c>
      <c r="Q8"/>
      <c r="R8"/>
    </row>
    <row r="9" spans="1:18" x14ac:dyDescent="0.3">
      <c r="A9" t="s">
        <v>112</v>
      </c>
      <c r="B9" t="s">
        <v>18</v>
      </c>
      <c r="C9" s="119">
        <v>46212</v>
      </c>
      <c r="D9" t="s">
        <v>176</v>
      </c>
      <c r="E9" t="s">
        <v>113</v>
      </c>
      <c r="F9" t="s">
        <v>210</v>
      </c>
      <c r="G9" s="119">
        <v>46212.87431712963</v>
      </c>
      <c r="H9" s="119">
        <v>46212.874710648146</v>
      </c>
      <c r="I9">
        <v>0.56999999999999995</v>
      </c>
      <c r="J9" t="s">
        <v>6</v>
      </c>
      <c r="K9" t="s">
        <v>211</v>
      </c>
      <c r="L9">
        <v>1</v>
      </c>
      <c r="M9">
        <v>0</v>
      </c>
      <c r="N9">
        <v>1</v>
      </c>
      <c r="O9" t="s">
        <v>196</v>
      </c>
      <c r="P9" t="s">
        <v>146</v>
      </c>
      <c r="Q9"/>
      <c r="R9"/>
    </row>
    <row r="10" spans="1:18" x14ac:dyDescent="0.3">
      <c r="A10" t="s">
        <v>112</v>
      </c>
      <c r="B10" t="s">
        <v>18</v>
      </c>
      <c r="C10" s="119">
        <v>46213</v>
      </c>
      <c r="D10" t="s">
        <v>176</v>
      </c>
      <c r="E10" t="s">
        <v>113</v>
      </c>
      <c r="F10" t="s">
        <v>212</v>
      </c>
      <c r="G10" s="119">
        <v>46213.87431712963</v>
      </c>
      <c r="H10" s="119">
        <v>46213.874502314815</v>
      </c>
      <c r="I10">
        <v>0.27</v>
      </c>
      <c r="J10" t="s">
        <v>6</v>
      </c>
      <c r="K10" t="s">
        <v>213</v>
      </c>
      <c r="L10">
        <v>1</v>
      </c>
      <c r="M10">
        <v>0</v>
      </c>
      <c r="N10">
        <v>1</v>
      </c>
      <c r="O10" t="s">
        <v>196</v>
      </c>
      <c r="P10" t="s">
        <v>146</v>
      </c>
      <c r="Q10"/>
      <c r="R10"/>
    </row>
    <row r="11" spans="1:18" x14ac:dyDescent="0.3">
      <c r="A11" t="s">
        <v>112</v>
      </c>
      <c r="B11" t="s">
        <v>18</v>
      </c>
      <c r="C11" s="119">
        <v>46214</v>
      </c>
      <c r="D11" t="s">
        <v>176</v>
      </c>
      <c r="E11" t="s">
        <v>114</v>
      </c>
      <c r="F11" t="s">
        <v>214</v>
      </c>
      <c r="G11" s="119">
        <v>46214.87431712963</v>
      </c>
      <c r="H11" s="119">
        <v>46214.893888888888</v>
      </c>
      <c r="I11">
        <v>28.18</v>
      </c>
      <c r="J11" t="s">
        <v>6</v>
      </c>
      <c r="K11" t="s">
        <v>215</v>
      </c>
      <c r="L11">
        <v>1</v>
      </c>
      <c r="M11">
        <v>0</v>
      </c>
      <c r="N11">
        <v>1</v>
      </c>
      <c r="O11" t="s">
        <v>201</v>
      </c>
      <c r="P11" t="s">
        <v>146</v>
      </c>
      <c r="Q11"/>
      <c r="R11"/>
    </row>
    <row r="12" spans="1:18" x14ac:dyDescent="0.3">
      <c r="A12" t="s">
        <v>112</v>
      </c>
      <c r="B12" t="s">
        <v>18</v>
      </c>
      <c r="C12" s="119">
        <v>46215</v>
      </c>
      <c r="D12" t="s">
        <v>176</v>
      </c>
      <c r="E12" t="s">
        <v>113</v>
      </c>
      <c r="F12" t="s">
        <v>216</v>
      </c>
      <c r="G12" s="119">
        <v>46215.87431712963</v>
      </c>
      <c r="H12" s="119">
        <v>46215.874513888892</v>
      </c>
      <c r="I12">
        <v>0.28000000000000003</v>
      </c>
      <c r="J12" t="s">
        <v>6</v>
      </c>
      <c r="K12" t="s">
        <v>217</v>
      </c>
      <c r="L12">
        <v>1</v>
      </c>
      <c r="M12">
        <v>0</v>
      </c>
      <c r="N12">
        <v>1</v>
      </c>
      <c r="O12" t="s">
        <v>196</v>
      </c>
      <c r="P12" t="s">
        <v>146</v>
      </c>
      <c r="Q12"/>
      <c r="R12"/>
    </row>
    <row r="13" spans="1:18" x14ac:dyDescent="0.3">
      <c r="A13" t="s">
        <v>112</v>
      </c>
      <c r="B13" t="s">
        <v>18</v>
      </c>
      <c r="C13" s="119">
        <v>46216</v>
      </c>
      <c r="D13" t="s">
        <v>176</v>
      </c>
      <c r="E13" t="s">
        <v>113</v>
      </c>
      <c r="F13" t="s">
        <v>218</v>
      </c>
      <c r="G13" s="119">
        <v>46216.87431712963</v>
      </c>
      <c r="H13" s="119">
        <v>46216.874525462961</v>
      </c>
      <c r="I13">
        <v>0.3</v>
      </c>
      <c r="J13" t="s">
        <v>6</v>
      </c>
      <c r="K13" t="s">
        <v>219</v>
      </c>
      <c r="L13">
        <v>1</v>
      </c>
      <c r="M13">
        <v>0</v>
      </c>
      <c r="N13">
        <v>1</v>
      </c>
      <c r="O13" t="s">
        <v>196</v>
      </c>
      <c r="P13" t="s">
        <v>146</v>
      </c>
      <c r="Q13"/>
      <c r="R13"/>
    </row>
    <row r="14" spans="1:18" x14ac:dyDescent="0.3">
      <c r="A14" t="s">
        <v>112</v>
      </c>
      <c r="B14" t="s">
        <v>18</v>
      </c>
      <c r="C14" s="119">
        <v>46217</v>
      </c>
      <c r="D14" t="s">
        <v>176</v>
      </c>
      <c r="E14" t="s">
        <v>113</v>
      </c>
      <c r="F14" t="s">
        <v>220</v>
      </c>
      <c r="G14" s="119">
        <v>46217.87431712963</v>
      </c>
      <c r="H14" s="119">
        <v>46217.874571759261</v>
      </c>
      <c r="I14">
        <v>0.37</v>
      </c>
      <c r="J14" t="s">
        <v>6</v>
      </c>
      <c r="K14" t="s">
        <v>221</v>
      </c>
      <c r="L14">
        <v>1</v>
      </c>
      <c r="M14">
        <v>0</v>
      </c>
      <c r="N14">
        <v>1</v>
      </c>
      <c r="O14" t="s">
        <v>196</v>
      </c>
      <c r="P14" t="s">
        <v>146</v>
      </c>
      <c r="Q14"/>
      <c r="R14"/>
    </row>
    <row r="15" spans="1:18" x14ac:dyDescent="0.3">
      <c r="A15" t="s">
        <v>112</v>
      </c>
      <c r="B15" t="s">
        <v>18</v>
      </c>
      <c r="C15" s="119">
        <v>46218</v>
      </c>
      <c r="D15" t="s">
        <v>176</v>
      </c>
      <c r="E15" t="s">
        <v>113</v>
      </c>
      <c r="F15" t="s">
        <v>222</v>
      </c>
      <c r="G15" s="119">
        <v>46218.87431712963</v>
      </c>
      <c r="H15" s="119">
        <v>46218.8747337963</v>
      </c>
      <c r="I15">
        <v>0.6</v>
      </c>
      <c r="J15" t="s">
        <v>6</v>
      </c>
      <c r="K15" t="s">
        <v>223</v>
      </c>
      <c r="L15">
        <v>1</v>
      </c>
      <c r="M15">
        <v>0</v>
      </c>
      <c r="N15">
        <v>1</v>
      </c>
      <c r="O15" t="s">
        <v>196</v>
      </c>
      <c r="P15" t="s">
        <v>146</v>
      </c>
      <c r="Q15"/>
      <c r="R15"/>
    </row>
    <row r="16" spans="1:18" x14ac:dyDescent="0.3">
      <c r="A16" t="s">
        <v>112</v>
      </c>
      <c r="B16" t="s">
        <v>18</v>
      </c>
      <c r="C16" s="119">
        <v>46219</v>
      </c>
      <c r="D16" t="s">
        <v>176</v>
      </c>
      <c r="E16" t="s">
        <v>113</v>
      </c>
      <c r="F16" t="s">
        <v>224</v>
      </c>
      <c r="G16" s="119">
        <v>46219.87431712963</v>
      </c>
      <c r="H16" s="119">
        <v>46219.8746875</v>
      </c>
      <c r="I16">
        <v>0.53</v>
      </c>
      <c r="J16" t="s">
        <v>6</v>
      </c>
      <c r="K16" t="s">
        <v>225</v>
      </c>
      <c r="L16">
        <v>1</v>
      </c>
      <c r="M16">
        <v>0</v>
      </c>
      <c r="N16">
        <v>1</v>
      </c>
      <c r="O16" t="s">
        <v>196</v>
      </c>
      <c r="P16" t="s">
        <v>146</v>
      </c>
      <c r="Q16"/>
      <c r="R16"/>
    </row>
    <row r="17" spans="1:18" x14ac:dyDescent="0.3">
      <c r="A17" t="s">
        <v>112</v>
      </c>
      <c r="B17" t="s">
        <v>18</v>
      </c>
      <c r="C17" s="119">
        <v>46220</v>
      </c>
      <c r="D17" t="s">
        <v>176</v>
      </c>
      <c r="E17" t="s">
        <v>113</v>
      </c>
      <c r="F17" t="s">
        <v>226</v>
      </c>
      <c r="G17" s="119">
        <v>46220.87431712963</v>
      </c>
      <c r="H17" s="119">
        <v>46220.874722222223</v>
      </c>
      <c r="I17">
        <v>0.57999999999999996</v>
      </c>
      <c r="J17" t="s">
        <v>6</v>
      </c>
      <c r="K17" t="s">
        <v>227</v>
      </c>
      <c r="L17">
        <v>1</v>
      </c>
      <c r="M17">
        <v>0</v>
      </c>
      <c r="N17">
        <v>1</v>
      </c>
      <c r="O17" t="s">
        <v>196</v>
      </c>
      <c r="P17" t="s">
        <v>146</v>
      </c>
      <c r="Q17"/>
      <c r="R17"/>
    </row>
    <row r="18" spans="1:18" x14ac:dyDescent="0.3">
      <c r="A18" t="s">
        <v>112</v>
      </c>
      <c r="B18" t="s">
        <v>18</v>
      </c>
      <c r="C18" s="119">
        <v>46221</v>
      </c>
      <c r="D18" t="s">
        <v>176</v>
      </c>
      <c r="E18" t="s">
        <v>114</v>
      </c>
      <c r="F18" t="s">
        <v>228</v>
      </c>
      <c r="G18" s="119">
        <v>46221.87431712963</v>
      </c>
      <c r="H18" s="119">
        <v>46221.891157407408</v>
      </c>
      <c r="I18">
        <v>24.25</v>
      </c>
      <c r="J18" t="s">
        <v>6</v>
      </c>
      <c r="K18" t="s">
        <v>229</v>
      </c>
      <c r="L18">
        <v>1</v>
      </c>
      <c r="M18">
        <v>0</v>
      </c>
      <c r="N18">
        <v>1</v>
      </c>
      <c r="O18" t="s">
        <v>201</v>
      </c>
      <c r="P18" t="s">
        <v>146</v>
      </c>
      <c r="Q18"/>
      <c r="R18"/>
    </row>
    <row r="19" spans="1:18" x14ac:dyDescent="0.3">
      <c r="A19" t="s">
        <v>112</v>
      </c>
      <c r="B19" t="s">
        <v>18</v>
      </c>
      <c r="C19" s="119">
        <v>46223</v>
      </c>
      <c r="D19" t="s">
        <v>176</v>
      </c>
      <c r="E19" t="s">
        <v>113</v>
      </c>
      <c r="F19" t="s">
        <v>230</v>
      </c>
      <c r="G19" s="119">
        <v>46223.233958333331</v>
      </c>
      <c r="H19" s="119">
        <v>46223.234120370369</v>
      </c>
      <c r="I19">
        <v>0.23</v>
      </c>
      <c r="J19" t="s">
        <v>6</v>
      </c>
      <c r="K19" t="s">
        <v>231</v>
      </c>
      <c r="L19">
        <v>1</v>
      </c>
      <c r="M19">
        <v>0</v>
      </c>
      <c r="N19">
        <v>1</v>
      </c>
      <c r="O19" t="s">
        <v>196</v>
      </c>
      <c r="P19" t="s">
        <v>146</v>
      </c>
      <c r="Q19"/>
      <c r="R19"/>
    </row>
    <row r="20" spans="1:18" x14ac:dyDescent="0.3">
      <c r="A20" t="s">
        <v>112</v>
      </c>
      <c r="B20" t="s">
        <v>18</v>
      </c>
      <c r="C20" s="119">
        <v>46223</v>
      </c>
      <c r="D20" t="s">
        <v>176</v>
      </c>
      <c r="E20" t="s">
        <v>113</v>
      </c>
      <c r="F20" t="s">
        <v>232</v>
      </c>
      <c r="G20" s="119">
        <v>46223.87431712963</v>
      </c>
      <c r="H20" s="119">
        <v>46223.874513888892</v>
      </c>
      <c r="I20">
        <v>0.28000000000000003</v>
      </c>
      <c r="J20" t="s">
        <v>6</v>
      </c>
      <c r="K20" t="s">
        <v>233</v>
      </c>
      <c r="L20">
        <v>1</v>
      </c>
      <c r="M20">
        <v>0</v>
      </c>
      <c r="N20">
        <v>1</v>
      </c>
      <c r="O20" t="s">
        <v>196</v>
      </c>
      <c r="P20" t="s">
        <v>146</v>
      </c>
      <c r="Q20"/>
      <c r="R20"/>
    </row>
    <row r="21" spans="1:18" x14ac:dyDescent="0.3">
      <c r="A21" t="s">
        <v>112</v>
      </c>
      <c r="B21" t="s">
        <v>18</v>
      </c>
      <c r="C21" s="119">
        <v>46224</v>
      </c>
      <c r="D21" t="s">
        <v>176</v>
      </c>
      <c r="E21" t="s">
        <v>113</v>
      </c>
      <c r="F21" t="s">
        <v>234</v>
      </c>
      <c r="G21" s="119">
        <v>46224.87431712963</v>
      </c>
      <c r="H21" s="119">
        <v>46224.874618055554</v>
      </c>
      <c r="I21">
        <v>0.43</v>
      </c>
      <c r="J21" t="s">
        <v>6</v>
      </c>
      <c r="K21" t="s">
        <v>235</v>
      </c>
      <c r="L21">
        <v>1</v>
      </c>
      <c r="M21">
        <v>0</v>
      </c>
      <c r="N21">
        <v>1</v>
      </c>
      <c r="O21" t="s">
        <v>196</v>
      </c>
      <c r="P21" t="s">
        <v>146</v>
      </c>
      <c r="Q21"/>
      <c r="R21"/>
    </row>
    <row r="22" spans="1:18" x14ac:dyDescent="0.3">
      <c r="A22" t="s">
        <v>112</v>
      </c>
      <c r="B22" t="s">
        <v>19</v>
      </c>
      <c r="C22" s="119">
        <v>46208</v>
      </c>
      <c r="D22" t="s">
        <v>236</v>
      </c>
      <c r="E22" t="s">
        <v>114</v>
      </c>
      <c r="F22" t="s">
        <v>146</v>
      </c>
      <c r="G22" s="119">
        <v>46208.916666666664</v>
      </c>
      <c r="H22" s="119">
        <v>46208.917361111111</v>
      </c>
      <c r="I22">
        <v>0.02</v>
      </c>
      <c r="J22" t="s">
        <v>6</v>
      </c>
      <c r="K22" t="s">
        <v>146</v>
      </c>
      <c r="L22">
        <v>0</v>
      </c>
      <c r="M22">
        <v>0</v>
      </c>
      <c r="N22">
        <v>0</v>
      </c>
      <c r="O22" t="s">
        <v>115</v>
      </c>
      <c r="P22" t="s">
        <v>146</v>
      </c>
      <c r="Q22"/>
      <c r="R22"/>
    </row>
    <row r="23" spans="1:18" x14ac:dyDescent="0.3">
      <c r="A23" t="s">
        <v>112</v>
      </c>
      <c r="B23" t="s">
        <v>19</v>
      </c>
      <c r="C23" s="119">
        <v>46215</v>
      </c>
      <c r="D23" t="s">
        <v>236</v>
      </c>
      <c r="E23" t="s">
        <v>114</v>
      </c>
      <c r="F23" t="s">
        <v>146</v>
      </c>
      <c r="G23" s="119">
        <v>46215.916666666664</v>
      </c>
      <c r="H23" s="119">
        <v>46215.917361111111</v>
      </c>
      <c r="I23">
        <v>0.02</v>
      </c>
      <c r="J23" t="s">
        <v>6</v>
      </c>
      <c r="K23" t="s">
        <v>146</v>
      </c>
      <c r="L23">
        <v>0</v>
      </c>
      <c r="M23">
        <v>0</v>
      </c>
      <c r="N23">
        <v>0</v>
      </c>
      <c r="O23" t="s">
        <v>115</v>
      </c>
      <c r="P23" t="s">
        <v>146</v>
      </c>
      <c r="Q23"/>
      <c r="R23"/>
    </row>
    <row r="24" spans="1:18" x14ac:dyDescent="0.3">
      <c r="A24" t="s">
        <v>112</v>
      </c>
      <c r="B24" t="s">
        <v>19</v>
      </c>
      <c r="C24" s="119">
        <v>46224</v>
      </c>
      <c r="D24" t="s">
        <v>236</v>
      </c>
      <c r="E24" t="s">
        <v>114</v>
      </c>
      <c r="F24" t="s">
        <v>146</v>
      </c>
      <c r="G24" s="119">
        <v>46224.319444444445</v>
      </c>
      <c r="H24" s="119">
        <v>46224.320138888892</v>
      </c>
      <c r="I24">
        <v>0.02</v>
      </c>
      <c r="J24" t="s">
        <v>6</v>
      </c>
      <c r="K24" t="s">
        <v>146</v>
      </c>
      <c r="L24">
        <v>0</v>
      </c>
      <c r="M24">
        <v>0</v>
      </c>
      <c r="N24">
        <v>0</v>
      </c>
      <c r="O24" t="s">
        <v>115</v>
      </c>
      <c r="P24" t="s">
        <v>146</v>
      </c>
      <c r="Q24"/>
      <c r="R24"/>
    </row>
    <row r="25" spans="1:18" x14ac:dyDescent="0.3">
      <c r="A25" t="s">
        <v>112</v>
      </c>
      <c r="B25" t="s">
        <v>176</v>
      </c>
      <c r="C25" s="119">
        <v>46226</v>
      </c>
      <c r="D25" t="s">
        <v>176</v>
      </c>
      <c r="E25" t="s">
        <v>113</v>
      </c>
      <c r="F25" t="s">
        <v>237</v>
      </c>
      <c r="G25" s="119">
        <v>46226.87431712963</v>
      </c>
      <c r="H25" s="119">
        <v>46226.874583333331</v>
      </c>
      <c r="I25">
        <v>0.38</v>
      </c>
      <c r="J25" t="s">
        <v>6</v>
      </c>
      <c r="K25" t="s">
        <v>238</v>
      </c>
      <c r="L25">
        <v>1</v>
      </c>
      <c r="M25">
        <v>0</v>
      </c>
      <c r="N25">
        <v>1</v>
      </c>
      <c r="O25" t="s">
        <v>196</v>
      </c>
      <c r="P25" t="s">
        <v>146</v>
      </c>
      <c r="Q25"/>
      <c r="R25"/>
    </row>
    <row r="26" spans="1:18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ht="15" customHeight="1" x14ac:dyDescent="0.3">
      <c r="A36" s="34"/>
      <c r="B36" s="34"/>
      <c r="C36" s="33"/>
      <c r="D36" s="34"/>
      <c r="E36" s="34"/>
      <c r="F36" s="34"/>
      <c r="G36" s="23"/>
      <c r="H36" s="23"/>
      <c r="I36" s="22"/>
      <c r="J36" s="22"/>
      <c r="K36" s="34"/>
      <c r="L36" s="34"/>
      <c r="M36" s="34"/>
      <c r="N36" s="34"/>
      <c r="O36" s="34"/>
      <c r="P36" s="34"/>
      <c r="Q36" s="34"/>
      <c r="R36" s="34"/>
    </row>
    <row r="37" spans="1:18" ht="15" customHeight="1" x14ac:dyDescent="0.3">
      <c r="A37" s="34"/>
      <c r="B37" s="34"/>
      <c r="C37" s="33"/>
      <c r="D37" s="34"/>
      <c r="E37" s="34"/>
      <c r="F37" s="34"/>
      <c r="G37" s="23"/>
      <c r="H37" s="23"/>
      <c r="I37" s="22"/>
      <c r="J37" s="22"/>
      <c r="K37" s="34"/>
      <c r="L37" s="34"/>
      <c r="M37" s="34"/>
      <c r="N37" s="34"/>
      <c r="O37" s="34"/>
      <c r="P37" s="34"/>
      <c r="Q37" s="34"/>
      <c r="R37" s="34"/>
    </row>
    <row r="38" spans="1:18" ht="15" customHeight="1" x14ac:dyDescent="0.3"/>
    <row r="39" spans="1:18" ht="15" customHeight="1" x14ac:dyDescent="0.3"/>
    <row r="40" spans="1:18" ht="15" customHeight="1" x14ac:dyDescent="0.3"/>
    <row r="41" spans="1:18" ht="15" customHeight="1" x14ac:dyDescent="0.3"/>
    <row r="42" spans="1:18" ht="15" customHeight="1" x14ac:dyDescent="0.3"/>
    <row r="43" spans="1:18" ht="15" customHeight="1" x14ac:dyDescent="0.3"/>
    <row r="44" spans="1:18" ht="15" customHeight="1" x14ac:dyDescent="0.3"/>
    <row r="45" spans="1:18" ht="15" customHeight="1" x14ac:dyDescent="0.3"/>
    <row r="46" spans="1:18" ht="15" customHeight="1" x14ac:dyDescent="0.3"/>
    <row r="47" spans="1:18" ht="15" customHeight="1" x14ac:dyDescent="0.3"/>
    <row r="48" spans="1:18" ht="15" customHeight="1" x14ac:dyDescent="0.3"/>
    <row r="49" ht="15" customHeight="1" x14ac:dyDescent="0.3"/>
    <row r="50" ht="15" customHeight="1" x14ac:dyDescent="0.3"/>
    <row r="51" ht="15" customHeight="1" x14ac:dyDescent="0.3"/>
    <row r="52" ht="15" customHeight="1" x14ac:dyDescent="0.3"/>
    <row r="53" ht="15" customHeight="1" x14ac:dyDescent="0.3"/>
    <row r="54" ht="15" customHeight="1" x14ac:dyDescent="0.3"/>
    <row r="55" ht="15" customHeight="1" x14ac:dyDescent="0.3"/>
    <row r="56" ht="15" customHeight="1" x14ac:dyDescent="0.3"/>
    <row r="57" ht="15" customHeight="1" x14ac:dyDescent="0.3"/>
    <row r="58" ht="15" customHeight="1" x14ac:dyDescent="0.3"/>
    <row r="59" ht="15" customHeight="1" x14ac:dyDescent="0.3"/>
    <row r="60" ht="15" customHeight="1" x14ac:dyDescent="0.3"/>
    <row r="61" ht="15" customHeight="1" x14ac:dyDescent="0.3"/>
    <row r="62" ht="15" customHeight="1" x14ac:dyDescent="0.3"/>
    <row r="63" ht="15" customHeight="1" x14ac:dyDescent="0.3"/>
    <row r="64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5" customHeight="1" x14ac:dyDescent="0.3"/>
    <row r="72" ht="15" customHeight="1" x14ac:dyDescent="0.3"/>
    <row r="73" ht="15" customHeight="1" x14ac:dyDescent="0.3"/>
    <row r="74" ht="15" customHeight="1" x14ac:dyDescent="0.3"/>
    <row r="75" ht="15" customHeight="1" x14ac:dyDescent="0.3"/>
    <row r="76" ht="15" customHeight="1" x14ac:dyDescent="0.3"/>
    <row r="77" ht="1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5" customHeight="1" x14ac:dyDescent="0.3"/>
    <row r="86" ht="15" customHeight="1" x14ac:dyDescent="0.3"/>
    <row r="87" ht="15" customHeight="1" x14ac:dyDescent="0.3"/>
    <row r="88" ht="15" customHeight="1" x14ac:dyDescent="0.3"/>
    <row r="89" ht="15" customHeight="1" x14ac:dyDescent="0.3"/>
    <row r="90" ht="15" customHeight="1" x14ac:dyDescent="0.3"/>
    <row r="91" ht="1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07" ht="15" customHeight="1" x14ac:dyDescent="0.3"/>
    <row r="108" ht="15" customHeight="1" x14ac:dyDescent="0.3"/>
    <row r="109" ht="15" customHeight="1" x14ac:dyDescent="0.3"/>
    <row r="110" ht="15" customHeight="1" x14ac:dyDescent="0.3"/>
    <row r="111" ht="15" customHeight="1" x14ac:dyDescent="0.3"/>
    <row r="112" ht="15" customHeight="1" x14ac:dyDescent="0.3"/>
    <row r="113" ht="15" customHeight="1" x14ac:dyDescent="0.3"/>
    <row r="114" ht="15" customHeight="1" x14ac:dyDescent="0.3"/>
    <row r="115" ht="15" customHeight="1" x14ac:dyDescent="0.3"/>
    <row r="116" ht="15" customHeight="1" x14ac:dyDescent="0.3"/>
    <row r="117" ht="15" customHeight="1" x14ac:dyDescent="0.3"/>
    <row r="118" ht="15" customHeight="1" x14ac:dyDescent="0.3"/>
    <row r="119" ht="15" customHeight="1" x14ac:dyDescent="0.3"/>
    <row r="120" ht="15" customHeight="1" x14ac:dyDescent="0.3"/>
    <row r="121" ht="15" customHeight="1" x14ac:dyDescent="0.3"/>
    <row r="122" ht="15" customHeight="1" x14ac:dyDescent="0.3"/>
    <row r="123" ht="15" customHeight="1" x14ac:dyDescent="0.3"/>
    <row r="124" ht="15" customHeight="1" x14ac:dyDescent="0.3"/>
    <row r="125" ht="15" customHeight="1" x14ac:dyDescent="0.3"/>
    <row r="126" ht="15" customHeight="1" x14ac:dyDescent="0.3"/>
    <row r="127" ht="15" customHeight="1" x14ac:dyDescent="0.3"/>
    <row r="128" ht="15" customHeight="1" x14ac:dyDescent="0.3"/>
    <row r="129" ht="15" customHeight="1" x14ac:dyDescent="0.3"/>
    <row r="130" ht="15" customHeight="1" x14ac:dyDescent="0.3"/>
    <row r="131" ht="15" customHeight="1" x14ac:dyDescent="0.3"/>
    <row r="132" ht="15" customHeight="1" x14ac:dyDescent="0.3"/>
    <row r="133" ht="15" customHeight="1" x14ac:dyDescent="0.3"/>
    <row r="134" ht="15" customHeight="1" x14ac:dyDescent="0.3"/>
    <row r="135" ht="15" customHeight="1" x14ac:dyDescent="0.3"/>
    <row r="136" ht="15" customHeight="1" x14ac:dyDescent="0.3"/>
    <row r="137" ht="15" customHeight="1" x14ac:dyDescent="0.3"/>
    <row r="138" ht="15" customHeight="1" x14ac:dyDescent="0.3"/>
    <row r="139" ht="15" customHeight="1" x14ac:dyDescent="0.3"/>
    <row r="140" ht="15" customHeight="1" x14ac:dyDescent="0.3"/>
    <row r="141" ht="15" customHeight="1" x14ac:dyDescent="0.3"/>
    <row r="142" ht="15" customHeight="1" x14ac:dyDescent="0.3"/>
    <row r="143" ht="15" customHeight="1" x14ac:dyDescent="0.3"/>
    <row r="144" ht="15" customHeight="1" x14ac:dyDescent="0.3"/>
    <row r="145" ht="15" customHeight="1" x14ac:dyDescent="0.3"/>
    <row r="146" ht="15" customHeight="1" x14ac:dyDescent="0.3"/>
    <row r="147" ht="15" customHeight="1" x14ac:dyDescent="0.3"/>
    <row r="148" ht="15" customHeight="1" x14ac:dyDescent="0.3"/>
    <row r="149" ht="15" customHeight="1" x14ac:dyDescent="0.3"/>
    <row r="150" ht="15" customHeight="1" x14ac:dyDescent="0.3"/>
    <row r="151" ht="15" customHeight="1" x14ac:dyDescent="0.3"/>
    <row r="152" ht="15" customHeight="1" x14ac:dyDescent="0.3"/>
    <row r="153" ht="15" customHeight="1" x14ac:dyDescent="0.3"/>
    <row r="154" ht="15" customHeight="1" x14ac:dyDescent="0.3"/>
    <row r="155" ht="15" customHeight="1" x14ac:dyDescent="0.3"/>
    <row r="156" ht="15" customHeight="1" x14ac:dyDescent="0.3"/>
    <row r="157" ht="15" customHeight="1" x14ac:dyDescent="0.3"/>
    <row r="158" ht="15" customHeight="1" x14ac:dyDescent="0.3"/>
    <row r="159" ht="15" customHeight="1" x14ac:dyDescent="0.3"/>
    <row r="160" ht="15" customHeight="1" x14ac:dyDescent="0.3"/>
    <row r="161" ht="15" customHeight="1" x14ac:dyDescent="0.3"/>
    <row r="162" ht="15" customHeight="1" x14ac:dyDescent="0.3"/>
    <row r="163" ht="15" customHeight="1" x14ac:dyDescent="0.3"/>
    <row r="164" ht="15" customHeight="1" x14ac:dyDescent="0.3"/>
    <row r="165" ht="15" customHeight="1" x14ac:dyDescent="0.3"/>
    <row r="166" ht="15" customHeight="1" x14ac:dyDescent="0.3"/>
    <row r="167" ht="15" customHeight="1" x14ac:dyDescent="0.3"/>
    <row r="168" ht="15" customHeight="1" x14ac:dyDescent="0.3"/>
    <row r="169" ht="15" customHeight="1" x14ac:dyDescent="0.3"/>
    <row r="170" ht="15" customHeight="1" x14ac:dyDescent="0.3"/>
    <row r="171" ht="15" customHeight="1" x14ac:dyDescent="0.3"/>
    <row r="172" ht="15" customHeight="1" x14ac:dyDescent="0.3"/>
    <row r="173" ht="15" customHeight="1" x14ac:dyDescent="0.3"/>
    <row r="174" ht="15" customHeight="1" x14ac:dyDescent="0.3"/>
    <row r="175" ht="15" customHeight="1" x14ac:dyDescent="0.3"/>
    <row r="176" ht="15" customHeight="1" x14ac:dyDescent="0.3"/>
    <row r="177" ht="15" customHeight="1" x14ac:dyDescent="0.3"/>
    <row r="178" ht="15" customHeight="1" x14ac:dyDescent="0.3"/>
    <row r="179" ht="15" customHeight="1" x14ac:dyDescent="0.3"/>
    <row r="180" ht="15" customHeight="1" x14ac:dyDescent="0.3"/>
    <row r="181" ht="15" customHeight="1" x14ac:dyDescent="0.3"/>
    <row r="182" ht="15" customHeight="1" x14ac:dyDescent="0.3"/>
    <row r="183" ht="15" customHeight="1" x14ac:dyDescent="0.3"/>
    <row r="184" ht="15" customHeight="1" x14ac:dyDescent="0.3"/>
    <row r="185" ht="15" customHeight="1" x14ac:dyDescent="0.3"/>
    <row r="186" ht="15" customHeight="1" x14ac:dyDescent="0.3"/>
    <row r="187" ht="15" customHeight="1" x14ac:dyDescent="0.3"/>
    <row r="188" ht="15" customHeight="1" x14ac:dyDescent="0.3"/>
    <row r="189" ht="15" customHeight="1" x14ac:dyDescent="0.3"/>
    <row r="190" ht="15" customHeight="1" x14ac:dyDescent="0.3"/>
    <row r="191" ht="15" customHeight="1" x14ac:dyDescent="0.3"/>
    <row r="192" ht="15" customHeight="1" x14ac:dyDescent="0.3"/>
    <row r="193" ht="15" customHeight="1" x14ac:dyDescent="0.3"/>
    <row r="194" ht="15" customHeight="1" x14ac:dyDescent="0.3"/>
    <row r="195" ht="15" customHeight="1" x14ac:dyDescent="0.3"/>
    <row r="196" ht="15" customHeight="1" x14ac:dyDescent="0.3"/>
    <row r="197" ht="15" customHeight="1" x14ac:dyDescent="0.3"/>
    <row r="198" ht="15" customHeight="1" x14ac:dyDescent="0.3"/>
    <row r="199" ht="15" customHeight="1" x14ac:dyDescent="0.3"/>
    <row r="200" ht="15" customHeight="1" x14ac:dyDescent="0.3"/>
    <row r="201" ht="15" customHeight="1" x14ac:dyDescent="0.3"/>
    <row r="202" ht="15" customHeight="1" x14ac:dyDescent="0.3"/>
  </sheetData>
  <dataValidations count="5">
    <dataValidation type="list" allowBlank="1" sqref="A36:A203" xr:uid="{00000000-0002-0000-0400-000000000000}">
      <formula1>"Backup,Restore Test"</formula1>
      <formula2>0</formula2>
    </dataValidation>
    <dataValidation type="list" allowBlank="1" sqref="B36:B203" xr:uid="{00000000-0002-0000-0400-000001000000}">
      <formula1>"Oracle,MySQL,MS SQL Server,PostgreSQL"</formula1>
      <formula2>0</formula2>
    </dataValidation>
    <dataValidation type="list" allowBlank="1" sqref="E36:E203" xr:uid="{00000000-0002-0000-0400-000002000000}">
      <formula1>"Full,Incremental,Differential,Log"</formula1>
      <formula2>0</formula2>
    </dataValidation>
    <dataValidation type="list" allowBlank="1" sqref="K36:K203" xr:uid="{00000000-0002-0000-0400-000003000000}">
      <formula1>"Success,Failed,Running,Pass,Fail"</formula1>
      <formula2>0</formula2>
    </dataValidation>
    <dataValidation type="list" allowBlank="1" sqref="M36:N203" xr:uid="{00000000-0002-0000-0400-000004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"/>
  <sheetViews>
    <sheetView zoomScaleNormal="100" workbookViewId="0">
      <pane ySplit="1" topLeftCell="A11" activePane="bottomLeft" state="frozen"/>
      <selection pane="bottomLeft" activeCell="D3" sqref="D3"/>
    </sheetView>
  </sheetViews>
  <sheetFormatPr defaultColWidth="8.6640625" defaultRowHeight="14.4" x14ac:dyDescent="0.3"/>
  <cols>
    <col min="1" max="1" width="17" style="19" customWidth="1"/>
    <col min="2" max="2" width="11.109375" style="19" bestFit="1" customWidth="1"/>
    <col min="3" max="3" width="10.88671875" style="19" customWidth="1"/>
    <col min="4" max="4" width="14.5546875" style="19" customWidth="1"/>
    <col min="5" max="5" width="10.77734375" style="19" customWidth="1"/>
    <col min="6" max="6" width="16.6640625" style="19" customWidth="1"/>
    <col min="7" max="7" width="15.88671875" style="19" customWidth="1"/>
    <col min="8" max="8" width="16.21875" style="19" customWidth="1"/>
    <col min="9" max="9" width="12.109375" style="19" customWidth="1"/>
    <col min="10" max="10" width="16.5546875" style="19" bestFit="1" customWidth="1"/>
    <col min="11" max="11" width="16.6640625" style="19" bestFit="1" customWidth="1"/>
    <col min="12" max="12" width="13.21875" bestFit="1" customWidth="1"/>
  </cols>
  <sheetData>
    <row r="1" spans="1:12" x14ac:dyDescent="0.3">
      <c r="A1" s="15" t="s">
        <v>143</v>
      </c>
      <c r="B1" s="15" t="s">
        <v>116</v>
      </c>
      <c r="C1" s="15" t="s">
        <v>14</v>
      </c>
      <c r="D1" s="15" t="s">
        <v>15</v>
      </c>
      <c r="E1" s="15" t="s">
        <v>16</v>
      </c>
      <c r="F1" s="15" t="s">
        <v>117</v>
      </c>
      <c r="G1" s="15" t="s">
        <v>118</v>
      </c>
      <c r="H1" s="15" t="s">
        <v>119</v>
      </c>
      <c r="I1" s="15" t="s">
        <v>120</v>
      </c>
      <c r="J1" s="15" t="s">
        <v>144</v>
      </c>
      <c r="K1" s="15" t="s">
        <v>145</v>
      </c>
      <c r="L1" s="15" t="s">
        <v>13</v>
      </c>
    </row>
    <row r="2" spans="1:12" x14ac:dyDescent="0.3">
      <c r="A2" s="20">
        <v>46225</v>
      </c>
      <c r="B2" s="19" t="s">
        <v>176</v>
      </c>
      <c r="C2" s="19">
        <v>42</v>
      </c>
      <c r="D2" s="19">
        <v>81.59</v>
      </c>
      <c r="E2" s="19">
        <v>20</v>
      </c>
      <c r="F2" s="19">
        <v>20</v>
      </c>
      <c r="G2" s="19">
        <v>40</v>
      </c>
      <c r="H2" s="19">
        <v>297386</v>
      </c>
      <c r="I2" s="19">
        <v>5</v>
      </c>
      <c r="J2" s="19" t="s">
        <v>147</v>
      </c>
      <c r="K2" s="19" t="s">
        <v>147</v>
      </c>
      <c r="L2" s="19" t="s">
        <v>18</v>
      </c>
    </row>
    <row r="3" spans="1:12" x14ac:dyDescent="0.3">
      <c r="A3" s="20">
        <v>46225</v>
      </c>
      <c r="B3" s="19" t="s">
        <v>176</v>
      </c>
      <c r="C3" s="19">
        <v>16.899999999999999</v>
      </c>
      <c r="D3" s="19">
        <v>48.98</v>
      </c>
      <c r="E3" s="19">
        <v>20</v>
      </c>
      <c r="F3" s="19">
        <v>20</v>
      </c>
      <c r="G3" s="19">
        <v>0</v>
      </c>
      <c r="H3" s="19">
        <v>0</v>
      </c>
      <c r="I3" s="19">
        <v>0</v>
      </c>
      <c r="J3" s="19" t="s">
        <v>58</v>
      </c>
      <c r="K3" s="19" t="s">
        <v>58</v>
      </c>
      <c r="L3" s="19" t="s">
        <v>18</v>
      </c>
    </row>
    <row r="4" spans="1:12" x14ac:dyDescent="0.3">
      <c r="A4" s="20">
        <v>46225</v>
      </c>
      <c r="B4" s="19" t="s">
        <v>176</v>
      </c>
      <c r="C4" s="19">
        <v>50.6</v>
      </c>
      <c r="D4" s="19">
        <v>46.71</v>
      </c>
      <c r="E4" s="19">
        <v>20</v>
      </c>
      <c r="F4" s="19">
        <v>20</v>
      </c>
      <c r="G4" s="19">
        <v>77</v>
      </c>
      <c r="H4" s="19">
        <v>302180</v>
      </c>
      <c r="I4" s="19">
        <v>9</v>
      </c>
      <c r="J4" s="19" t="s">
        <v>58</v>
      </c>
      <c r="K4" s="19" t="s">
        <v>58</v>
      </c>
      <c r="L4" s="19" t="s">
        <v>18</v>
      </c>
    </row>
    <row r="5" spans="1:12" x14ac:dyDescent="0.3">
      <c r="A5" s="20">
        <v>46225</v>
      </c>
      <c r="B5" s="19" t="s">
        <v>176</v>
      </c>
      <c r="C5" s="19">
        <v>31</v>
      </c>
      <c r="D5" s="19">
        <v>50.43</v>
      </c>
      <c r="E5" s="19">
        <v>20</v>
      </c>
      <c r="F5" s="19">
        <v>20</v>
      </c>
      <c r="G5" s="19">
        <v>0</v>
      </c>
      <c r="H5" s="19">
        <v>0</v>
      </c>
      <c r="I5" s="19">
        <v>0</v>
      </c>
      <c r="J5" s="19" t="s">
        <v>58</v>
      </c>
      <c r="K5" s="19" t="s">
        <v>58</v>
      </c>
      <c r="L5" s="19" t="s">
        <v>18</v>
      </c>
    </row>
    <row r="6" spans="1:12" x14ac:dyDescent="0.3">
      <c r="A6" s="20">
        <v>46225</v>
      </c>
      <c r="B6" s="19" t="s">
        <v>176</v>
      </c>
      <c r="C6" s="19">
        <v>31.5</v>
      </c>
      <c r="D6" s="19">
        <v>48.58</v>
      </c>
      <c r="E6" s="19">
        <v>20</v>
      </c>
      <c r="F6" s="19">
        <v>20</v>
      </c>
      <c r="G6" s="19">
        <v>77</v>
      </c>
      <c r="H6" s="19">
        <v>302185</v>
      </c>
      <c r="I6" s="19">
        <v>8</v>
      </c>
      <c r="J6" s="19" t="s">
        <v>58</v>
      </c>
      <c r="K6" s="19" t="s">
        <v>58</v>
      </c>
      <c r="L6" s="19" t="s">
        <v>18</v>
      </c>
    </row>
    <row r="7" spans="1:12" x14ac:dyDescent="0.3">
      <c r="A7" s="20">
        <v>46226</v>
      </c>
      <c r="B7" s="19" t="s">
        <v>176</v>
      </c>
      <c r="C7" s="19">
        <v>70.5</v>
      </c>
      <c r="D7" s="19">
        <v>50.86</v>
      </c>
      <c r="E7" s="19">
        <v>20</v>
      </c>
      <c r="F7" s="19">
        <v>20</v>
      </c>
      <c r="G7" s="19">
        <v>45</v>
      </c>
      <c r="H7" s="19">
        <v>318026</v>
      </c>
      <c r="I7" s="19">
        <v>8</v>
      </c>
      <c r="J7" s="19" t="s">
        <v>147</v>
      </c>
      <c r="K7" s="19" t="s">
        <v>58</v>
      </c>
      <c r="L7" s="19" t="s">
        <v>18</v>
      </c>
    </row>
    <row r="8" spans="1:12" x14ac:dyDescent="0.3">
      <c r="A8" s="20">
        <v>46226</v>
      </c>
      <c r="B8" s="19" t="s">
        <v>176</v>
      </c>
      <c r="C8" s="19">
        <v>96.7</v>
      </c>
      <c r="D8" s="19">
        <v>50.67</v>
      </c>
      <c r="E8" s="19">
        <v>20</v>
      </c>
      <c r="F8" s="19">
        <v>20</v>
      </c>
      <c r="G8" s="19">
        <v>120</v>
      </c>
      <c r="H8" s="19">
        <v>318164</v>
      </c>
      <c r="I8" s="19">
        <v>13</v>
      </c>
      <c r="J8" s="19" t="s">
        <v>5</v>
      </c>
      <c r="K8" s="19" t="s">
        <v>5</v>
      </c>
      <c r="L8" s="19" t="s">
        <v>18</v>
      </c>
    </row>
    <row r="9" spans="1:12" x14ac:dyDescent="0.3">
      <c r="A9" s="20">
        <v>46226</v>
      </c>
      <c r="B9" s="19" t="s">
        <v>176</v>
      </c>
      <c r="C9" s="19">
        <v>81.8</v>
      </c>
      <c r="D9" s="19">
        <v>49.98</v>
      </c>
      <c r="E9" s="19">
        <v>20</v>
      </c>
      <c r="F9" s="19">
        <v>20</v>
      </c>
      <c r="G9" s="19">
        <v>108</v>
      </c>
      <c r="H9" s="19">
        <v>318201</v>
      </c>
      <c r="I9" s="19">
        <v>11</v>
      </c>
      <c r="J9" s="19" t="s">
        <v>147</v>
      </c>
      <c r="K9" s="19" t="s">
        <v>147</v>
      </c>
      <c r="L9" s="19" t="s">
        <v>18</v>
      </c>
    </row>
    <row r="10" spans="1:12" x14ac:dyDescent="0.3">
      <c r="A10" s="20">
        <v>46226</v>
      </c>
      <c r="B10" s="19" t="s">
        <v>176</v>
      </c>
      <c r="C10" s="19">
        <v>95.6</v>
      </c>
      <c r="D10" s="19">
        <v>50.03</v>
      </c>
      <c r="E10" s="19">
        <v>20</v>
      </c>
      <c r="F10" s="19">
        <v>20</v>
      </c>
      <c r="G10" s="19">
        <v>62</v>
      </c>
      <c r="H10" s="19">
        <v>318587</v>
      </c>
      <c r="I10" s="19">
        <v>16</v>
      </c>
      <c r="J10" s="19" t="s">
        <v>5</v>
      </c>
      <c r="K10" s="19" t="s">
        <v>5</v>
      </c>
      <c r="L10" s="19" t="s">
        <v>18</v>
      </c>
    </row>
    <row r="11" spans="1:12" x14ac:dyDescent="0.3">
      <c r="A11" s="20">
        <v>46226</v>
      </c>
      <c r="B11" s="19" t="s">
        <v>176</v>
      </c>
      <c r="C11" s="19">
        <v>57.9</v>
      </c>
      <c r="D11" s="19">
        <v>50.14</v>
      </c>
      <c r="E11" s="19">
        <v>20</v>
      </c>
      <c r="F11" s="19">
        <v>20</v>
      </c>
      <c r="G11" s="19">
        <v>50</v>
      </c>
      <c r="H11" s="19">
        <v>319879</v>
      </c>
      <c r="I11" s="19">
        <v>7</v>
      </c>
      <c r="J11" s="19" t="s">
        <v>58</v>
      </c>
      <c r="K11" s="19" t="s">
        <v>58</v>
      </c>
      <c r="L11" s="19" t="s">
        <v>18</v>
      </c>
    </row>
    <row r="12" spans="1:12" x14ac:dyDescent="0.3">
      <c r="A12" s="20">
        <v>46226</v>
      </c>
      <c r="B12" s="19" t="s">
        <v>176</v>
      </c>
      <c r="C12" s="19">
        <v>1.1000000000000001</v>
      </c>
      <c r="D12" s="19">
        <v>48.89</v>
      </c>
      <c r="E12" s="19">
        <v>20</v>
      </c>
      <c r="F12" s="19">
        <v>20</v>
      </c>
      <c r="G12" s="19">
        <v>43</v>
      </c>
      <c r="H12" s="19">
        <v>320581</v>
      </c>
      <c r="I12" s="19">
        <v>3</v>
      </c>
      <c r="J12" s="19" t="s">
        <v>58</v>
      </c>
      <c r="K12" s="19" t="s">
        <v>58</v>
      </c>
      <c r="L12" s="19" t="s">
        <v>18</v>
      </c>
    </row>
    <row r="13" spans="1:12" x14ac:dyDescent="0.3">
      <c r="A13" s="20">
        <v>46226</v>
      </c>
      <c r="B13" s="19" t="s">
        <v>176</v>
      </c>
      <c r="C13" s="19">
        <v>1.1000000000000001</v>
      </c>
      <c r="D13" s="19">
        <v>51.72</v>
      </c>
      <c r="E13" s="19">
        <v>20</v>
      </c>
      <c r="F13" s="19">
        <v>20</v>
      </c>
      <c r="G13" s="19">
        <v>36</v>
      </c>
      <c r="H13" s="19">
        <v>320624</v>
      </c>
      <c r="I13" s="19">
        <v>4</v>
      </c>
      <c r="J13" s="19" t="s">
        <v>58</v>
      </c>
      <c r="K13" s="19" t="s">
        <v>58</v>
      </c>
      <c r="L13" s="19" t="s">
        <v>18</v>
      </c>
    </row>
    <row r="14" spans="1:12" x14ac:dyDescent="0.3">
      <c r="A14" s="20">
        <v>46226</v>
      </c>
      <c r="B14" s="19" t="s">
        <v>176</v>
      </c>
      <c r="C14" s="19">
        <v>14.4</v>
      </c>
      <c r="D14" s="19">
        <v>50.87</v>
      </c>
      <c r="E14" s="19">
        <v>20</v>
      </c>
      <c r="F14" s="19">
        <v>20</v>
      </c>
      <c r="G14" s="19">
        <v>34</v>
      </c>
      <c r="H14" s="19">
        <v>320645</v>
      </c>
      <c r="I14" s="19">
        <v>5</v>
      </c>
      <c r="J14" s="19" t="s">
        <v>58</v>
      </c>
      <c r="K14" s="19" t="s">
        <v>58</v>
      </c>
      <c r="L14" s="19" t="s">
        <v>18</v>
      </c>
    </row>
    <row r="15" spans="1:12" x14ac:dyDescent="0.3">
      <c r="A15" s="20">
        <v>46226</v>
      </c>
      <c r="B15" s="19" t="s">
        <v>176</v>
      </c>
      <c r="C15" s="19">
        <v>32.6</v>
      </c>
      <c r="D15" s="19">
        <v>49.16</v>
      </c>
      <c r="E15" s="19">
        <v>20</v>
      </c>
      <c r="F15" s="19">
        <v>20</v>
      </c>
      <c r="G15" s="19">
        <v>37</v>
      </c>
      <c r="H15" s="19">
        <v>320730</v>
      </c>
      <c r="I15" s="19">
        <v>5</v>
      </c>
      <c r="J15" s="19" t="s">
        <v>58</v>
      </c>
      <c r="K15" s="19" t="s">
        <v>58</v>
      </c>
      <c r="L15" s="19" t="s">
        <v>18</v>
      </c>
    </row>
    <row r="16" spans="1:12" x14ac:dyDescent="0.3">
      <c r="A16" s="20">
        <v>46226</v>
      </c>
      <c r="B16" s="19" t="s">
        <v>176</v>
      </c>
      <c r="C16" s="19">
        <v>1.1000000000000001</v>
      </c>
      <c r="D16" s="19">
        <v>50.44</v>
      </c>
      <c r="E16" s="19">
        <v>20</v>
      </c>
      <c r="F16" s="19">
        <v>20</v>
      </c>
      <c r="G16" s="19">
        <v>40</v>
      </c>
      <c r="H16" s="19">
        <v>320753</v>
      </c>
      <c r="I16" s="19">
        <v>5</v>
      </c>
      <c r="J16" s="19" t="s">
        <v>58</v>
      </c>
      <c r="K16" s="19" t="s">
        <v>58</v>
      </c>
      <c r="L16" s="19" t="s">
        <v>18</v>
      </c>
    </row>
    <row r="17" spans="1:12" x14ac:dyDescent="0.3">
      <c r="A17" s="20">
        <v>46226</v>
      </c>
      <c r="B17" s="19" t="s">
        <v>176</v>
      </c>
      <c r="C17" s="19">
        <v>15.7</v>
      </c>
      <c r="D17" s="19">
        <v>49.62</v>
      </c>
      <c r="E17" s="19">
        <v>20</v>
      </c>
      <c r="F17" s="19">
        <v>20</v>
      </c>
      <c r="G17" s="19">
        <v>32</v>
      </c>
      <c r="H17" s="19">
        <v>320761</v>
      </c>
      <c r="I17" s="19">
        <v>4</v>
      </c>
      <c r="J17" s="19" t="s">
        <v>58</v>
      </c>
      <c r="K17" s="19" t="s">
        <v>58</v>
      </c>
      <c r="L17" s="19" t="s">
        <v>18</v>
      </c>
    </row>
    <row r="18" spans="1:12" x14ac:dyDescent="0.3">
      <c r="A18" s="20">
        <v>46226</v>
      </c>
      <c r="B18" s="19" t="s">
        <v>176</v>
      </c>
      <c r="C18" s="19">
        <v>24.2</v>
      </c>
      <c r="D18" s="19">
        <v>49.58</v>
      </c>
      <c r="E18" s="19">
        <v>20</v>
      </c>
      <c r="F18" s="19">
        <v>20</v>
      </c>
      <c r="G18" s="19">
        <v>30</v>
      </c>
      <c r="H18" s="19">
        <v>320768</v>
      </c>
      <c r="I18" s="19">
        <v>5</v>
      </c>
      <c r="J18" s="19" t="s">
        <v>58</v>
      </c>
      <c r="K18" s="19" t="s">
        <v>58</v>
      </c>
      <c r="L18" s="19" t="s">
        <v>18</v>
      </c>
    </row>
    <row r="19" spans="1:12" x14ac:dyDescent="0.3">
      <c r="A19" s="20">
        <v>46226</v>
      </c>
      <c r="B19" s="19" t="s">
        <v>176</v>
      </c>
      <c r="C19" s="19">
        <v>18</v>
      </c>
      <c r="D19" s="19">
        <v>50.98</v>
      </c>
      <c r="E19" s="19">
        <v>20</v>
      </c>
      <c r="F19" s="19">
        <v>20</v>
      </c>
      <c r="G19" s="19">
        <v>36</v>
      </c>
      <c r="H19" s="19">
        <v>320780</v>
      </c>
      <c r="I19" s="19">
        <v>3</v>
      </c>
      <c r="J19" s="19" t="s">
        <v>58</v>
      </c>
      <c r="K19" s="19" t="s">
        <v>58</v>
      </c>
      <c r="L19" s="19" t="s">
        <v>18</v>
      </c>
    </row>
    <row r="20" spans="1:12" x14ac:dyDescent="0.3">
      <c r="A20" s="20">
        <v>46226</v>
      </c>
      <c r="B20" s="19" t="s">
        <v>176</v>
      </c>
      <c r="C20" s="19">
        <v>7.8</v>
      </c>
      <c r="D20" s="19">
        <v>50.17</v>
      </c>
      <c r="E20" s="19">
        <v>20</v>
      </c>
      <c r="F20" s="19">
        <v>20</v>
      </c>
      <c r="G20" s="19">
        <v>33</v>
      </c>
      <c r="H20" s="19">
        <v>320785</v>
      </c>
      <c r="I20" s="19">
        <v>3</v>
      </c>
      <c r="J20" s="19" t="s">
        <v>58</v>
      </c>
      <c r="K20" s="19" t="s">
        <v>58</v>
      </c>
      <c r="L20" s="19" t="s">
        <v>18</v>
      </c>
    </row>
    <row r="21" spans="1:12" x14ac:dyDescent="0.3">
      <c r="A21" s="20">
        <v>46227</v>
      </c>
      <c r="B21" s="19" t="s">
        <v>176</v>
      </c>
      <c r="C21" s="19">
        <v>37.1</v>
      </c>
      <c r="D21" s="19">
        <v>51.09</v>
      </c>
      <c r="E21" s="19">
        <v>20</v>
      </c>
      <c r="F21" s="19">
        <v>20</v>
      </c>
      <c r="G21" s="19">
        <v>35</v>
      </c>
      <c r="H21" s="19">
        <v>320889</v>
      </c>
      <c r="I21" s="19">
        <v>5</v>
      </c>
      <c r="J21" s="19" t="s">
        <v>58</v>
      </c>
      <c r="K21" s="19" t="s">
        <v>58</v>
      </c>
      <c r="L21" s="19" t="s">
        <v>18</v>
      </c>
    </row>
    <row r="22" spans="1:12" x14ac:dyDescent="0.3">
      <c r="A22" s="20">
        <v>46227</v>
      </c>
      <c r="B22" s="19" t="s">
        <v>176</v>
      </c>
      <c r="C22" s="19">
        <v>14.8</v>
      </c>
      <c r="D22" s="19">
        <v>49.78</v>
      </c>
      <c r="E22" s="19">
        <v>20</v>
      </c>
      <c r="F22" s="19">
        <v>20</v>
      </c>
      <c r="G22" s="19">
        <v>31</v>
      </c>
      <c r="H22" s="19">
        <v>320922</v>
      </c>
      <c r="I22" s="19">
        <v>4</v>
      </c>
      <c r="J22" s="19" t="s">
        <v>58</v>
      </c>
      <c r="K22" s="19" t="s">
        <v>58</v>
      </c>
      <c r="L22" s="19" t="s">
        <v>18</v>
      </c>
    </row>
    <row r="23" spans="1:12" x14ac:dyDescent="0.3">
      <c r="A23" s="20">
        <v>46227</v>
      </c>
      <c r="B23" s="19" t="s">
        <v>176</v>
      </c>
      <c r="C23" s="19">
        <v>23.3</v>
      </c>
      <c r="D23" s="19">
        <v>51.09</v>
      </c>
      <c r="E23" s="19">
        <v>20</v>
      </c>
      <c r="F23" s="19">
        <v>20</v>
      </c>
      <c r="G23" s="19">
        <v>30</v>
      </c>
      <c r="H23" s="19">
        <v>320923</v>
      </c>
      <c r="I23" s="19">
        <v>4</v>
      </c>
      <c r="J23" s="19" t="s">
        <v>58</v>
      </c>
      <c r="K23" s="19" t="s">
        <v>58</v>
      </c>
      <c r="L23" s="19" t="s">
        <v>18</v>
      </c>
    </row>
    <row r="24" spans="1:12" x14ac:dyDescent="0.3">
      <c r="A24" s="20">
        <v>46227</v>
      </c>
      <c r="B24" s="19" t="s">
        <v>176</v>
      </c>
      <c r="C24" s="19">
        <v>4.5999999999999996</v>
      </c>
      <c r="D24" s="19">
        <v>52.05</v>
      </c>
      <c r="E24" s="19">
        <v>20</v>
      </c>
      <c r="F24" s="19">
        <v>20</v>
      </c>
      <c r="G24" s="19">
        <v>30</v>
      </c>
      <c r="H24" s="19">
        <v>320928</v>
      </c>
      <c r="I24" s="19">
        <v>5</v>
      </c>
      <c r="J24" s="19" t="s">
        <v>58</v>
      </c>
      <c r="K24" s="19" t="s">
        <v>58</v>
      </c>
      <c r="L24" s="19" t="s">
        <v>18</v>
      </c>
    </row>
    <row r="25" spans="1:12" x14ac:dyDescent="0.3">
      <c r="A25" s="20">
        <v>46227</v>
      </c>
      <c r="B25" s="19" t="s">
        <v>176</v>
      </c>
      <c r="C25" s="19">
        <v>13.5</v>
      </c>
      <c r="D25" s="19">
        <v>51</v>
      </c>
      <c r="E25" s="19">
        <v>20</v>
      </c>
      <c r="F25" s="19">
        <v>20</v>
      </c>
      <c r="G25" s="19">
        <v>35</v>
      </c>
      <c r="H25" s="19">
        <v>320956</v>
      </c>
      <c r="I25" s="19">
        <v>4</v>
      </c>
      <c r="J25" s="19" t="s">
        <v>58</v>
      </c>
      <c r="K25" s="19" t="s">
        <v>58</v>
      </c>
      <c r="L25" s="19" t="s">
        <v>18</v>
      </c>
    </row>
    <row r="26" spans="1:12" x14ac:dyDescent="0.3">
      <c r="A26" s="20">
        <v>46227</v>
      </c>
      <c r="B26" s="19" t="s">
        <v>176</v>
      </c>
      <c r="C26" s="19">
        <v>39.799999999999997</v>
      </c>
      <c r="D26" s="19">
        <v>50.93</v>
      </c>
      <c r="E26" s="19">
        <v>20</v>
      </c>
      <c r="F26" s="19">
        <v>20</v>
      </c>
      <c r="G26" s="19">
        <v>33</v>
      </c>
      <c r="H26" s="19">
        <v>321345</v>
      </c>
      <c r="I26" s="19">
        <v>7</v>
      </c>
      <c r="J26" s="19" t="s">
        <v>58</v>
      </c>
      <c r="K26" s="19" t="s">
        <v>58</v>
      </c>
      <c r="L26" s="19" t="s">
        <v>18</v>
      </c>
    </row>
    <row r="27" spans="1:12" ht="26.25" customHeight="1" x14ac:dyDescent="0.3"/>
    <row r="28" spans="1:12" ht="26.25" customHeight="1" x14ac:dyDescent="0.3"/>
    <row r="29" spans="1:12" ht="26.25" customHeight="1" x14ac:dyDescent="0.3"/>
    <row r="30" spans="1:12" ht="26.25" customHeight="1" x14ac:dyDescent="0.3"/>
    <row r="31" spans="1:12" ht="26.25" customHeight="1" x14ac:dyDescent="0.3"/>
    <row r="32" spans="1:12" ht="26.25" customHeight="1" x14ac:dyDescent="0.3"/>
    <row r="33" ht="26.25" customHeight="1" x14ac:dyDescent="0.3"/>
    <row r="34" ht="26.25" customHeight="1" x14ac:dyDescent="0.3"/>
    <row r="35" ht="26.25" customHeight="1" x14ac:dyDescent="0.3"/>
    <row r="36" ht="26.25" customHeight="1" x14ac:dyDescent="0.3"/>
    <row r="37" ht="26.25" customHeight="1" x14ac:dyDescent="0.3"/>
    <row r="38" ht="26.25" customHeight="1" x14ac:dyDescent="0.3"/>
    <row r="39" ht="26.25" customHeight="1" x14ac:dyDescent="0.3"/>
    <row r="40" ht="26.25" customHeight="1" x14ac:dyDescent="0.3"/>
    <row r="41" ht="26.25" customHeight="1" x14ac:dyDescent="0.3"/>
    <row r="42" ht="26.25" customHeight="1" x14ac:dyDescent="0.3"/>
    <row r="43" ht="26.25" customHeight="1" x14ac:dyDescent="0.3"/>
    <row r="44" ht="26.25" customHeight="1" x14ac:dyDescent="0.3"/>
    <row r="45" ht="26.25" customHeight="1" x14ac:dyDescent="0.3"/>
    <row r="46" ht="26.25" customHeight="1" x14ac:dyDescent="0.3"/>
    <row r="47" ht="26.25" customHeight="1" x14ac:dyDescent="0.3"/>
    <row r="48" ht="26.25" customHeight="1" x14ac:dyDescent="0.3"/>
    <row r="49" ht="26.25" customHeight="1" x14ac:dyDescent="0.3"/>
    <row r="50" ht="26.25" customHeight="1" x14ac:dyDescent="0.3"/>
    <row r="51" ht="26.25" customHeight="1" x14ac:dyDescent="0.3"/>
    <row r="52" ht="26.25" customHeight="1" x14ac:dyDescent="0.3"/>
    <row r="53" ht="26.25" customHeight="1" x14ac:dyDescent="0.3"/>
    <row r="54" ht="26.25" customHeight="1" x14ac:dyDescent="0.3"/>
    <row r="55" ht="26.25" customHeight="1" x14ac:dyDescent="0.3"/>
    <row r="56" ht="26.25" customHeight="1" x14ac:dyDescent="0.3"/>
    <row r="57" ht="26.25" customHeight="1" x14ac:dyDescent="0.3"/>
    <row r="58" ht="26.25" customHeight="1" x14ac:dyDescent="0.3"/>
    <row r="59" ht="26.25" customHeight="1" x14ac:dyDescent="0.3"/>
    <row r="60" ht="26.25" customHeight="1" x14ac:dyDescent="0.3"/>
    <row r="61" ht="26.25" customHeight="1" x14ac:dyDescent="0.3"/>
    <row r="62" ht="26.25" customHeight="1" x14ac:dyDescent="0.3"/>
    <row r="63" ht="26.25" customHeight="1" x14ac:dyDescent="0.3"/>
    <row r="64" ht="26.25" customHeight="1" x14ac:dyDescent="0.3"/>
    <row r="65" ht="26.25" customHeight="1" x14ac:dyDescent="0.3"/>
    <row r="66" ht="26.25" customHeight="1" x14ac:dyDescent="0.3"/>
    <row r="67" ht="26.25" customHeight="1" x14ac:dyDescent="0.3"/>
    <row r="68" ht="26.25" customHeight="1" x14ac:dyDescent="0.3"/>
    <row r="69" ht="26.25" customHeight="1" x14ac:dyDescent="0.3"/>
    <row r="70" ht="26.25" customHeight="1" x14ac:dyDescent="0.3"/>
    <row r="71" ht="26.25" customHeight="1" x14ac:dyDescent="0.3"/>
    <row r="72" ht="26.25" customHeight="1" x14ac:dyDescent="0.3"/>
    <row r="73" ht="26.25" customHeight="1" x14ac:dyDescent="0.3"/>
    <row r="74" ht="26.25" customHeight="1" x14ac:dyDescent="0.3"/>
    <row r="75" ht="26.25" customHeight="1" x14ac:dyDescent="0.3"/>
    <row r="76" ht="26.25" customHeight="1" x14ac:dyDescent="0.3"/>
    <row r="77" ht="26.25" customHeight="1" x14ac:dyDescent="0.3"/>
    <row r="78" ht="26.25" customHeight="1" x14ac:dyDescent="0.3"/>
    <row r="79" ht="26.25" customHeight="1" x14ac:dyDescent="0.3"/>
    <row r="80" ht="26.25" customHeight="1" x14ac:dyDescent="0.3"/>
    <row r="81" ht="26.25" customHeight="1" x14ac:dyDescent="0.3"/>
    <row r="82" ht="26.25" customHeight="1" x14ac:dyDescent="0.3"/>
    <row r="83" ht="26.25" customHeight="1" x14ac:dyDescent="0.3"/>
    <row r="84" ht="26.25" customHeight="1" x14ac:dyDescent="0.3"/>
    <row r="85" ht="26.25" customHeight="1" x14ac:dyDescent="0.3"/>
    <row r="86" ht="26.25" customHeight="1" x14ac:dyDescent="0.3"/>
    <row r="87" ht="26.25" customHeight="1" x14ac:dyDescent="0.3"/>
    <row r="88" ht="26.25" customHeight="1" x14ac:dyDescent="0.3"/>
    <row r="89" ht="26.25" customHeight="1" x14ac:dyDescent="0.3"/>
    <row r="90" ht="26.25" customHeight="1" x14ac:dyDescent="0.3"/>
    <row r="91" ht="26.25" customHeight="1" x14ac:dyDescent="0.3"/>
    <row r="92" ht="26.25" customHeight="1" x14ac:dyDescent="0.3"/>
    <row r="93" ht="26.25" customHeight="1" x14ac:dyDescent="0.3"/>
    <row r="94" ht="26.25" customHeight="1" x14ac:dyDescent="0.3"/>
    <row r="95" ht="26.25" customHeight="1" x14ac:dyDescent="0.3"/>
    <row r="96" ht="26.25" customHeight="1" x14ac:dyDescent="0.3"/>
    <row r="97" ht="26.25" customHeight="1" x14ac:dyDescent="0.3"/>
    <row r="98" ht="26.25" customHeight="1" x14ac:dyDescent="0.3"/>
    <row r="99" ht="26.25" customHeight="1" x14ac:dyDescent="0.3"/>
    <row r="100" ht="26.25" customHeight="1" x14ac:dyDescent="0.3"/>
  </sheetData>
  <conditionalFormatting sqref="A2:K26">
    <cfRule type="expression" dxfId="34" priority="2">
      <formula>$J2="Critical"</formula>
    </cfRule>
    <cfRule type="expression" dxfId="33" priority="3">
      <formula>$J2="Warning"</formula>
    </cfRule>
  </conditionalFormatting>
  <conditionalFormatting sqref="C2:C26">
    <cfRule type="cellIs" dxfId="32" priority="4" operator="greaterThan">
      <formula>90</formula>
    </cfRule>
    <cfRule type="cellIs" dxfId="31" priority="5" operator="between">
      <formula>70</formula>
      <formula>90</formula>
    </cfRule>
    <cfRule type="cellIs" dxfId="30" priority="6" operator="lessThan">
      <formula>70</formula>
    </cfRule>
  </conditionalFormatting>
  <conditionalFormatting sqref="D2:D26">
    <cfRule type="cellIs" dxfId="29" priority="7" operator="greaterThan">
      <formula>90</formula>
    </cfRule>
    <cfRule type="cellIs" dxfId="28" priority="8" operator="between">
      <formula>70</formula>
      <formula>90</formula>
    </cfRule>
  </conditionalFormatting>
  <conditionalFormatting sqref="E2:E26">
    <cfRule type="cellIs" dxfId="27" priority="9" operator="greaterThan">
      <formula>85</formula>
    </cfRule>
    <cfRule type="cellIs" dxfId="26" priority="10" operator="between">
      <formula>70</formula>
      <formula>85</formula>
    </cfRule>
  </conditionalFormatting>
  <conditionalFormatting sqref="F2:F26">
    <cfRule type="cellIs" dxfId="25" priority="11" operator="greaterThan">
      <formula>90</formula>
    </cfRule>
  </conditionalFormatting>
  <conditionalFormatting sqref="K27:K121">
    <cfRule type="expression" dxfId="24" priority="14">
      <formula>$J27="Critical"</formula>
    </cfRule>
    <cfRule type="expression" dxfId="23" priority="15">
      <formula>$J27="Warning"</formula>
    </cfRule>
  </conditionalFormatting>
  <conditionalFormatting sqref="C27:C121">
    <cfRule type="cellIs" dxfId="22" priority="16" operator="greaterThan">
      <formula>90</formula>
    </cfRule>
    <cfRule type="cellIs" dxfId="21" priority="17" operator="between">
      <formula>70</formula>
      <formula>90</formula>
    </cfRule>
    <cfRule type="cellIs" dxfId="20" priority="18" operator="lessThan">
      <formula>70</formula>
    </cfRule>
  </conditionalFormatting>
  <conditionalFormatting sqref="D27:D121">
    <cfRule type="cellIs" dxfId="19" priority="19" operator="greaterThan">
      <formula>90</formula>
    </cfRule>
    <cfRule type="cellIs" dxfId="18" priority="20" operator="between">
      <formula>70</formula>
      <formula>90</formula>
    </cfRule>
  </conditionalFormatting>
  <conditionalFormatting sqref="E27:E121">
    <cfRule type="cellIs" dxfId="17" priority="21" operator="greaterThan">
      <formula>85</formula>
    </cfRule>
    <cfRule type="cellIs" dxfId="16" priority="22" operator="between">
      <formula>70</formula>
      <formula>85</formula>
    </cfRule>
  </conditionalFormatting>
  <conditionalFormatting sqref="F27:F121">
    <cfRule type="cellIs" dxfId="15" priority="23" operator="greaterThan">
      <formula>90</formula>
    </cfRule>
  </conditionalFormatting>
  <conditionalFormatting sqref="A27:J121">
    <cfRule type="expression" dxfId="14" priority="24">
      <formula>$J27="Critical"</formula>
    </cfRule>
    <cfRule type="expression" dxfId="13" priority="25">
      <formula>$J27="Warning"</formula>
    </cfRule>
  </conditionalFormatting>
  <dataValidations count="2">
    <dataValidation type="list" allowBlank="1" sqref="J26:J121" xr:uid="{00000000-0002-0000-0500-000000000000}">
      <formula1>"Healthy,Warning,Critical"</formula1>
      <formula2>0</formula2>
    </dataValidation>
    <dataValidation type="list" allowBlank="1" sqref="K26:K121" xr:uid="{00000000-0002-0000-0500-000001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42"/>
  <sheetViews>
    <sheetView zoomScale="80" zoomScaleNormal="100" workbookViewId="0">
      <pane ySplit="2" topLeftCell="A3" activePane="bottomLeft" state="frozen"/>
      <selection pane="bottomLeft" activeCell="E2" sqref="E2"/>
    </sheetView>
  </sheetViews>
  <sheetFormatPr defaultColWidth="8.6640625" defaultRowHeight="13.2" x14ac:dyDescent="0.25"/>
  <cols>
    <col min="1" max="1" width="16.88671875" style="77" bestFit="1" customWidth="1"/>
    <col min="2" max="2" width="13.88671875" style="24" bestFit="1" customWidth="1"/>
    <col min="3" max="3" width="18.44140625" style="24" bestFit="1" customWidth="1"/>
    <col min="4" max="4" width="21.21875" style="27" bestFit="1" customWidth="1"/>
    <col min="5" max="5" width="30.44140625" style="27" bestFit="1" customWidth="1"/>
    <col min="6" max="6" width="33.33203125" style="24" bestFit="1" customWidth="1"/>
    <col min="7" max="7" width="28.5546875" style="27" bestFit="1" customWidth="1"/>
    <col min="8" max="8" width="32.6640625" style="27" bestFit="1" customWidth="1"/>
    <col min="9" max="9" width="11" style="24" bestFit="1" customWidth="1"/>
    <col min="10" max="10" width="14.5546875" style="24" bestFit="1" customWidth="1"/>
    <col min="11" max="11" width="12.44140625" style="24" bestFit="1" customWidth="1"/>
    <col min="12" max="12" width="8.6640625" style="24"/>
    <col min="13" max="13" width="9.6640625" style="24" customWidth="1"/>
    <col min="14" max="14" width="14.88671875" style="24" customWidth="1"/>
    <col min="15" max="15" width="14.33203125" style="27" customWidth="1"/>
    <col min="16" max="16" width="15" style="24" customWidth="1"/>
    <col min="17" max="17" width="14" style="24" customWidth="1"/>
    <col min="18" max="22" width="8.6640625" style="24"/>
    <col min="23" max="23" width="5.88671875" style="24" customWidth="1"/>
    <col min="24" max="24" width="15.109375" style="24" customWidth="1"/>
    <col min="25" max="25" width="14.6640625" style="24" customWidth="1"/>
    <col min="26" max="26" width="15" style="24" customWidth="1"/>
    <col min="27" max="27" width="14" style="24" customWidth="1"/>
    <col min="28" max="32" width="8.6640625" style="24"/>
    <col min="33" max="33" width="6.88671875" style="24" customWidth="1"/>
    <col min="34" max="34" width="15.5546875" style="24" customWidth="1"/>
    <col min="35" max="35" width="14.88671875" style="24" customWidth="1"/>
    <col min="36" max="36" width="15" style="24" customWidth="1"/>
    <col min="37" max="37" width="14" style="24" customWidth="1"/>
    <col min="38" max="16384" width="8.6640625" style="24"/>
  </cols>
  <sheetData>
    <row r="1" spans="1:38" s="48" customFormat="1" ht="13.8" x14ac:dyDescent="0.25">
      <c r="A1" s="79" t="s">
        <v>148</v>
      </c>
      <c r="B1" s="40" t="s">
        <v>13</v>
      </c>
      <c r="C1" s="41" t="s">
        <v>149</v>
      </c>
      <c r="D1" s="41" t="s">
        <v>121</v>
      </c>
      <c r="E1" s="89" t="s">
        <v>30</v>
      </c>
      <c r="F1" s="80" t="s">
        <v>31</v>
      </c>
      <c r="G1" s="89" t="s">
        <v>150</v>
      </c>
      <c r="H1" s="89" t="s">
        <v>151</v>
      </c>
      <c r="I1" s="40" t="s">
        <v>122</v>
      </c>
      <c r="J1" s="47"/>
      <c r="M1" s="49"/>
      <c r="T1" s="47"/>
      <c r="AD1" s="47"/>
    </row>
    <row r="2" spans="1:38" ht="13.8" x14ac:dyDescent="0.25">
      <c r="A2" s="42" t="s">
        <v>152</v>
      </c>
      <c r="B2" s="85" t="s">
        <v>17</v>
      </c>
      <c r="C2" s="86">
        <v>558</v>
      </c>
      <c r="D2" s="87">
        <v>554.25</v>
      </c>
      <c r="E2" s="87">
        <v>2.5832999999999999</v>
      </c>
      <c r="F2" s="88">
        <v>3.75</v>
      </c>
      <c r="G2" s="91">
        <v>99.328000000000003</v>
      </c>
      <c r="H2" s="90">
        <v>99.328000000000003</v>
      </c>
      <c r="I2" s="43">
        <v>99.9</v>
      </c>
      <c r="J2" s="50"/>
      <c r="K2" s="51"/>
      <c r="L2" s="51"/>
      <c r="M2" s="52"/>
      <c r="N2" s="51"/>
      <c r="O2" s="50"/>
      <c r="P2" s="50"/>
      <c r="Q2" s="53"/>
      <c r="R2" s="53"/>
      <c r="S2" s="53"/>
      <c r="T2" s="50"/>
      <c r="U2" s="50"/>
      <c r="V2" s="51"/>
      <c r="W2" s="51"/>
      <c r="X2" s="51"/>
      <c r="Y2" s="50"/>
      <c r="Z2" s="50"/>
      <c r="AA2" s="53"/>
      <c r="AB2" s="53"/>
      <c r="AC2" s="53"/>
      <c r="AD2" s="54"/>
      <c r="AE2" s="54"/>
      <c r="AF2" s="55"/>
      <c r="AG2" s="55"/>
      <c r="AH2" s="55"/>
      <c r="AI2" s="54"/>
      <c r="AJ2" s="54"/>
      <c r="AK2" s="53"/>
    </row>
    <row r="3" spans="1:38" ht="13.8" x14ac:dyDescent="0.25">
      <c r="A3" s="78" t="s">
        <v>152</v>
      </c>
      <c r="B3" s="42" t="s">
        <v>18</v>
      </c>
      <c r="C3" s="81">
        <v>558</v>
      </c>
      <c r="D3" s="45">
        <v>554.08330000000001</v>
      </c>
      <c r="E3" s="45">
        <v>27</v>
      </c>
      <c r="F3" s="45">
        <v>3.9167000000000001</v>
      </c>
      <c r="G3" s="45">
        <v>99.298100000000005</v>
      </c>
      <c r="H3" s="46">
        <v>99.298100000000005</v>
      </c>
      <c r="I3" s="44">
        <v>99.9</v>
      </c>
      <c r="J3" s="56"/>
      <c r="K3" s="56"/>
      <c r="L3" s="56"/>
      <c r="M3" s="57"/>
      <c r="N3" s="56"/>
      <c r="O3" s="57"/>
      <c r="P3" s="56"/>
      <c r="T3" s="56"/>
      <c r="U3" s="56"/>
      <c r="V3" s="56"/>
      <c r="W3" s="56"/>
      <c r="X3" s="56"/>
      <c r="Y3" s="57"/>
      <c r="Z3" s="56"/>
      <c r="AD3" s="56"/>
      <c r="AE3" s="56"/>
      <c r="AF3" s="56"/>
      <c r="AG3" s="56"/>
      <c r="AH3" s="56"/>
      <c r="AI3" s="57"/>
      <c r="AJ3" s="56"/>
    </row>
    <row r="4" spans="1:38" ht="14.25" customHeight="1" x14ac:dyDescent="0.25">
      <c r="B4" s="82"/>
      <c r="C4" s="83"/>
      <c r="D4" s="57"/>
      <c r="E4" s="57"/>
      <c r="F4" s="56"/>
      <c r="G4" s="57"/>
      <c r="H4" s="57"/>
      <c r="L4" s="58"/>
      <c r="M4" s="56"/>
      <c r="N4" s="56"/>
      <c r="O4" s="57"/>
      <c r="P4" s="56"/>
      <c r="Q4" s="57"/>
      <c r="R4" s="56"/>
      <c r="V4" s="58"/>
      <c r="W4" s="56"/>
      <c r="X4" s="56"/>
      <c r="Y4" s="56"/>
      <c r="Z4" s="56"/>
      <c r="AA4" s="57"/>
      <c r="AB4" s="56"/>
      <c r="AF4" s="58"/>
      <c r="AG4" s="56"/>
      <c r="AH4" s="56"/>
      <c r="AI4" s="56"/>
      <c r="AJ4" s="56"/>
      <c r="AK4" s="57"/>
      <c r="AL4" s="56"/>
    </row>
    <row r="5" spans="1:38" ht="14.25" customHeight="1" x14ac:dyDescent="0.25">
      <c r="B5" s="82"/>
      <c r="C5" s="83"/>
      <c r="D5" s="57"/>
      <c r="E5" s="57"/>
      <c r="F5" s="56"/>
      <c r="G5" s="57"/>
      <c r="H5" s="57"/>
      <c r="L5" s="58"/>
      <c r="M5" s="56"/>
      <c r="N5" s="56"/>
      <c r="O5" s="57"/>
      <c r="P5" s="56"/>
      <c r="Q5" s="57"/>
      <c r="R5" s="56"/>
      <c r="V5" s="58"/>
      <c r="W5" s="56"/>
      <c r="X5" s="56"/>
      <c r="Y5" s="56"/>
      <c r="Z5" s="56"/>
      <c r="AA5" s="57"/>
      <c r="AB5" s="56"/>
      <c r="AF5" s="58"/>
      <c r="AG5" s="56"/>
      <c r="AH5" s="56"/>
      <c r="AI5" s="56"/>
      <c r="AJ5" s="56"/>
      <c r="AK5" s="57"/>
      <c r="AL5" s="56"/>
    </row>
    <row r="6" spans="1:38" ht="14.25" customHeight="1" x14ac:dyDescent="0.25">
      <c r="B6" s="82"/>
      <c r="C6" s="83"/>
      <c r="D6" s="57"/>
      <c r="E6" s="57"/>
      <c r="F6" s="56"/>
      <c r="G6" s="57"/>
      <c r="H6" s="57"/>
      <c r="L6" s="58"/>
      <c r="M6" s="56"/>
      <c r="N6" s="56"/>
      <c r="O6" s="57"/>
      <c r="P6" s="56"/>
      <c r="Q6" s="57"/>
      <c r="R6" s="56"/>
      <c r="V6" s="58"/>
      <c r="W6" s="56"/>
      <c r="X6" s="56"/>
      <c r="Y6" s="56"/>
      <c r="Z6" s="56"/>
      <c r="AA6" s="57"/>
      <c r="AB6" s="56"/>
      <c r="AF6" s="58"/>
      <c r="AG6" s="56"/>
      <c r="AH6" s="56"/>
      <c r="AI6" s="56"/>
      <c r="AJ6" s="56"/>
      <c r="AK6" s="57"/>
      <c r="AL6" s="56"/>
    </row>
    <row r="7" spans="1:38" ht="14.25" customHeight="1" x14ac:dyDescent="0.25">
      <c r="B7" s="82"/>
      <c r="C7" s="83"/>
      <c r="D7" s="57"/>
      <c r="E7" s="57"/>
      <c r="F7" s="56"/>
      <c r="G7" s="57"/>
      <c r="H7" s="57"/>
      <c r="L7" s="58"/>
      <c r="M7" s="56"/>
      <c r="N7" s="56"/>
      <c r="O7" s="57"/>
      <c r="P7" s="56"/>
      <c r="Q7" s="57"/>
      <c r="R7" s="56"/>
      <c r="V7" s="58"/>
      <c r="W7" s="56"/>
      <c r="X7" s="56"/>
      <c r="Y7" s="56"/>
      <c r="Z7" s="56"/>
      <c r="AA7" s="57"/>
      <c r="AB7" s="56"/>
      <c r="AF7" s="58"/>
      <c r="AG7" s="56"/>
      <c r="AH7" s="56"/>
      <c r="AI7" s="56"/>
      <c r="AJ7" s="56"/>
      <c r="AK7" s="57"/>
      <c r="AL7" s="56"/>
    </row>
    <row r="8" spans="1:38" ht="14.25" customHeight="1" x14ac:dyDescent="0.25">
      <c r="B8" s="82"/>
      <c r="C8" s="83"/>
      <c r="D8" s="57"/>
      <c r="E8" s="57"/>
      <c r="F8" s="56"/>
      <c r="G8" s="57"/>
      <c r="H8" s="57"/>
      <c r="L8" s="58"/>
      <c r="M8" s="56"/>
      <c r="N8" s="56"/>
      <c r="O8" s="57"/>
      <c r="P8" s="56"/>
      <c r="Q8" s="57"/>
      <c r="R8" s="56"/>
      <c r="V8" s="58"/>
      <c r="W8" s="56"/>
      <c r="X8" s="56"/>
      <c r="Y8" s="56"/>
      <c r="Z8" s="56"/>
      <c r="AA8" s="57"/>
      <c r="AB8" s="56"/>
      <c r="AF8" s="58"/>
      <c r="AG8" s="56"/>
      <c r="AH8" s="56"/>
      <c r="AI8" s="56"/>
      <c r="AJ8" s="56"/>
      <c r="AK8" s="57"/>
      <c r="AL8" s="56"/>
    </row>
    <row r="9" spans="1:38" ht="14.25" customHeight="1" x14ac:dyDescent="0.25">
      <c r="B9" s="82"/>
      <c r="C9" s="83"/>
      <c r="D9" s="57"/>
      <c r="E9" s="57"/>
      <c r="F9" s="56"/>
      <c r="G9" s="57"/>
      <c r="H9" s="57"/>
      <c r="L9" s="58"/>
      <c r="M9" s="56"/>
      <c r="N9" s="56"/>
      <c r="O9" s="57"/>
      <c r="P9" s="56"/>
      <c r="Q9" s="57"/>
      <c r="R9" s="56"/>
      <c r="V9" s="58"/>
      <c r="W9" s="56"/>
      <c r="X9" s="56"/>
      <c r="Y9" s="56"/>
      <c r="Z9" s="56"/>
      <c r="AA9" s="57"/>
      <c r="AB9" s="56"/>
      <c r="AF9" s="58"/>
      <c r="AG9" s="56"/>
      <c r="AH9" s="56"/>
      <c r="AI9" s="56"/>
      <c r="AJ9" s="56"/>
      <c r="AK9" s="57"/>
      <c r="AL9" s="56"/>
    </row>
    <row r="10" spans="1:38" ht="14.25" customHeight="1" x14ac:dyDescent="0.25">
      <c r="B10" s="82"/>
      <c r="C10" s="83"/>
      <c r="D10" s="57"/>
      <c r="E10" s="57"/>
      <c r="F10" s="56"/>
      <c r="G10" s="57"/>
      <c r="H10" s="57"/>
      <c r="L10" s="58"/>
      <c r="M10" s="56"/>
      <c r="N10" s="56"/>
      <c r="O10" s="57"/>
      <c r="P10" s="56"/>
      <c r="Q10" s="57"/>
      <c r="R10" s="56"/>
      <c r="V10" s="58"/>
      <c r="W10" s="56"/>
      <c r="X10" s="56"/>
      <c r="Y10" s="56"/>
      <c r="Z10" s="56"/>
      <c r="AA10" s="57"/>
      <c r="AB10" s="56"/>
      <c r="AF10" s="58"/>
      <c r="AG10" s="56"/>
      <c r="AH10" s="56"/>
      <c r="AI10" s="56"/>
      <c r="AJ10" s="56"/>
      <c r="AK10" s="57"/>
      <c r="AL10" s="56"/>
    </row>
    <row r="11" spans="1:38" ht="14.25" customHeight="1" x14ac:dyDescent="0.25">
      <c r="B11" s="82"/>
      <c r="C11" s="83"/>
      <c r="D11" s="57"/>
      <c r="E11" s="57"/>
      <c r="F11" s="56"/>
      <c r="G11" s="57"/>
      <c r="H11" s="57"/>
      <c r="L11" s="58"/>
      <c r="M11" s="56"/>
      <c r="N11" s="56"/>
      <c r="O11" s="57"/>
      <c r="P11" s="56"/>
      <c r="Q11" s="57"/>
      <c r="R11" s="56"/>
      <c r="V11" s="58"/>
      <c r="W11" s="56"/>
      <c r="X11" s="56"/>
      <c r="Y11" s="56"/>
      <c r="Z11" s="56"/>
      <c r="AA11" s="57"/>
      <c r="AB11" s="56"/>
      <c r="AF11" s="58"/>
      <c r="AG11" s="56"/>
      <c r="AH11" s="56"/>
      <c r="AI11" s="56"/>
      <c r="AJ11" s="56"/>
      <c r="AK11" s="57"/>
      <c r="AL11" s="56"/>
    </row>
    <row r="12" spans="1:38" ht="14.25" customHeight="1" x14ac:dyDescent="0.25">
      <c r="B12" s="82"/>
      <c r="C12" s="83"/>
      <c r="D12" s="57"/>
      <c r="E12" s="57"/>
      <c r="F12" s="56"/>
      <c r="G12" s="57"/>
      <c r="H12" s="57"/>
      <c r="L12" s="58"/>
      <c r="M12" s="56"/>
      <c r="N12" s="56"/>
      <c r="O12" s="57"/>
      <c r="P12" s="56"/>
      <c r="Q12" s="57"/>
      <c r="R12" s="56"/>
      <c r="V12" s="58"/>
      <c r="W12" s="56"/>
      <c r="X12" s="56"/>
      <c r="Y12" s="56"/>
      <c r="Z12" s="56"/>
      <c r="AA12" s="57"/>
      <c r="AB12" s="56"/>
      <c r="AF12" s="58"/>
      <c r="AG12" s="56"/>
      <c r="AH12" s="56"/>
      <c r="AI12" s="56"/>
      <c r="AJ12" s="56"/>
      <c r="AK12" s="57"/>
      <c r="AL12" s="56"/>
    </row>
    <row r="13" spans="1:38" ht="14.25" customHeight="1" x14ac:dyDescent="0.25">
      <c r="B13" s="82"/>
      <c r="C13" s="83"/>
      <c r="D13" s="57"/>
      <c r="E13" s="57"/>
      <c r="F13" s="56"/>
      <c r="G13" s="57"/>
      <c r="H13" s="57"/>
      <c r="L13" s="58"/>
      <c r="M13" s="56"/>
      <c r="N13" s="56"/>
      <c r="O13" s="57"/>
      <c r="P13" s="56"/>
      <c r="Q13" s="57"/>
      <c r="R13" s="56"/>
      <c r="V13" s="58"/>
      <c r="W13" s="56"/>
      <c r="X13" s="56"/>
      <c r="Y13" s="56"/>
      <c r="Z13" s="56"/>
      <c r="AA13" s="57"/>
      <c r="AB13" s="56"/>
      <c r="AF13" s="58"/>
      <c r="AG13" s="56"/>
      <c r="AH13" s="56"/>
      <c r="AI13" s="56"/>
      <c r="AJ13" s="56"/>
      <c r="AK13" s="57"/>
      <c r="AL13" s="56"/>
    </row>
    <row r="14" spans="1:38" ht="14.25" customHeight="1" x14ac:dyDescent="0.25">
      <c r="B14" s="82"/>
      <c r="C14" s="83"/>
      <c r="D14" s="57"/>
      <c r="E14" s="57"/>
      <c r="F14" s="56"/>
      <c r="G14" s="57"/>
      <c r="H14" s="57"/>
      <c r="L14" s="58"/>
      <c r="M14" s="56"/>
      <c r="N14" s="56"/>
      <c r="O14" s="57"/>
      <c r="P14" s="56"/>
      <c r="Q14" s="57"/>
      <c r="R14" s="56"/>
      <c r="V14" s="58"/>
      <c r="W14" s="56"/>
      <c r="X14" s="56"/>
      <c r="Y14" s="56"/>
      <c r="Z14" s="56"/>
      <c r="AA14" s="57"/>
      <c r="AB14" s="56"/>
      <c r="AF14" s="58"/>
      <c r="AG14" s="56"/>
      <c r="AH14" s="56"/>
      <c r="AI14" s="56"/>
      <c r="AJ14" s="56"/>
      <c r="AK14" s="57"/>
      <c r="AL14" s="56"/>
    </row>
    <row r="15" spans="1:38" ht="14.25" customHeight="1" x14ac:dyDescent="0.25">
      <c r="B15" s="82"/>
      <c r="C15" s="83"/>
      <c r="D15" s="57"/>
      <c r="E15" s="57"/>
      <c r="F15" s="56"/>
      <c r="G15" s="57"/>
      <c r="H15" s="57"/>
      <c r="L15" s="58"/>
      <c r="M15" s="56"/>
      <c r="N15" s="56"/>
      <c r="O15" s="57"/>
      <c r="P15" s="56"/>
      <c r="Q15" s="57"/>
      <c r="R15" s="56"/>
      <c r="V15" s="58"/>
      <c r="W15" s="56"/>
      <c r="X15" s="56"/>
      <c r="Y15" s="56"/>
      <c r="Z15" s="56"/>
      <c r="AA15" s="57"/>
      <c r="AB15" s="56"/>
      <c r="AF15" s="58"/>
      <c r="AG15" s="56"/>
      <c r="AH15" s="56"/>
      <c r="AI15" s="56"/>
      <c r="AJ15" s="56"/>
      <c r="AK15" s="57"/>
      <c r="AL15" s="56"/>
    </row>
    <row r="16" spans="1:38" ht="14.25" customHeight="1" x14ac:dyDescent="0.25">
      <c r="B16" s="82"/>
      <c r="C16" s="83"/>
      <c r="D16" s="57"/>
      <c r="E16" s="57"/>
      <c r="F16" s="56"/>
      <c r="G16" s="57"/>
      <c r="H16" s="57"/>
      <c r="M16" s="56"/>
      <c r="P16" s="56"/>
      <c r="Q16" s="57"/>
      <c r="Z16" s="56"/>
      <c r="AA16" s="57"/>
      <c r="AJ16" s="56"/>
      <c r="AK16" s="57"/>
    </row>
    <row r="17" spans="2:37" ht="14.25" customHeight="1" x14ac:dyDescent="0.25">
      <c r="B17" s="82"/>
      <c r="C17" s="83"/>
      <c r="D17" s="57"/>
      <c r="E17" s="57"/>
      <c r="F17" s="56"/>
      <c r="G17" s="57"/>
      <c r="H17" s="57"/>
      <c r="M17" s="56"/>
      <c r="P17" s="56"/>
      <c r="Q17" s="57"/>
      <c r="Z17" s="56"/>
      <c r="AA17" s="57"/>
      <c r="AJ17" s="56"/>
      <c r="AK17" s="57"/>
    </row>
    <row r="18" spans="2:37" ht="14.25" customHeight="1" x14ac:dyDescent="0.25">
      <c r="B18" s="82"/>
      <c r="C18" s="83"/>
      <c r="D18" s="57"/>
      <c r="E18" s="57"/>
      <c r="F18" s="56"/>
      <c r="G18" s="57"/>
      <c r="H18" s="57"/>
      <c r="M18" s="56"/>
      <c r="P18" s="56"/>
      <c r="Q18" s="57"/>
      <c r="Z18" s="56"/>
      <c r="AA18" s="57"/>
      <c r="AJ18" s="56"/>
      <c r="AK18" s="57"/>
    </row>
    <row r="19" spans="2:37" ht="14.25" customHeight="1" x14ac:dyDescent="0.25">
      <c r="B19" s="82"/>
      <c r="C19" s="83"/>
      <c r="D19" s="57"/>
      <c r="E19" s="57"/>
      <c r="F19" s="56"/>
      <c r="G19" s="57"/>
      <c r="H19" s="57"/>
      <c r="M19" s="56"/>
      <c r="P19" s="56"/>
      <c r="Q19" s="57"/>
      <c r="Z19" s="56"/>
      <c r="AA19" s="57"/>
      <c r="AJ19" s="56"/>
      <c r="AK19" s="57"/>
    </row>
    <row r="20" spans="2:37" ht="14.25" customHeight="1" x14ac:dyDescent="0.25">
      <c r="B20" s="82"/>
      <c r="C20" s="83"/>
      <c r="D20" s="57"/>
      <c r="E20" s="57"/>
      <c r="F20" s="56"/>
      <c r="G20" s="57"/>
      <c r="H20" s="57"/>
      <c r="M20" s="56"/>
      <c r="P20" s="56"/>
      <c r="Q20" s="57"/>
      <c r="Z20" s="56"/>
      <c r="AA20" s="57"/>
      <c r="AJ20" s="56"/>
      <c r="AK20" s="57"/>
    </row>
    <row r="21" spans="2:37" ht="14.25" customHeight="1" x14ac:dyDescent="0.25">
      <c r="B21" s="83"/>
      <c r="C21" s="83"/>
      <c r="D21" s="57"/>
      <c r="E21" s="57"/>
      <c r="F21" s="56"/>
      <c r="G21" s="57"/>
      <c r="H21" s="57"/>
      <c r="M21" s="56"/>
      <c r="P21" s="56"/>
      <c r="Q21" s="56"/>
      <c r="Z21" s="56"/>
      <c r="AA21" s="56"/>
      <c r="AJ21" s="56"/>
      <c r="AK21" s="56"/>
    </row>
    <row r="22" spans="2:37" ht="14.25" customHeight="1" x14ac:dyDescent="0.25">
      <c r="B22" s="83"/>
      <c r="C22" s="83"/>
      <c r="D22" s="57"/>
      <c r="E22" s="57"/>
      <c r="F22" s="56"/>
      <c r="G22" s="57"/>
      <c r="H22" s="57"/>
      <c r="M22" s="56"/>
      <c r="P22" s="56"/>
      <c r="Q22" s="57"/>
      <c r="Z22" s="56"/>
      <c r="AA22" s="57"/>
      <c r="AJ22" s="56"/>
      <c r="AK22" s="57"/>
    </row>
    <row r="23" spans="2:37" x14ac:dyDescent="0.25">
      <c r="B23" s="84"/>
      <c r="C23" s="84"/>
    </row>
    <row r="24" spans="2:37" x14ac:dyDescent="0.25">
      <c r="B24" s="84"/>
      <c r="C24" s="84"/>
    </row>
    <row r="25" spans="2:37" x14ac:dyDescent="0.25">
      <c r="B25" s="84"/>
      <c r="C25" s="84"/>
    </row>
    <row r="26" spans="2:37" x14ac:dyDescent="0.25">
      <c r="B26" s="84"/>
      <c r="C26" s="84"/>
    </row>
    <row r="27" spans="2:37" x14ac:dyDescent="0.25">
      <c r="B27" s="84"/>
      <c r="C27" s="84"/>
    </row>
    <row r="28" spans="2:37" x14ac:dyDescent="0.25">
      <c r="B28" s="84"/>
      <c r="C28" s="84"/>
    </row>
    <row r="29" spans="2:37" x14ac:dyDescent="0.25">
      <c r="B29" s="84"/>
      <c r="C29" s="84"/>
    </row>
    <row r="30" spans="2:37" x14ac:dyDescent="0.25">
      <c r="B30" s="84"/>
      <c r="C30" s="84"/>
    </row>
    <row r="31" spans="2:37" x14ac:dyDescent="0.25">
      <c r="B31" s="84"/>
      <c r="C31" s="84"/>
    </row>
    <row r="32" spans="2:37" x14ac:dyDescent="0.25">
      <c r="B32" s="84"/>
      <c r="C32" s="84"/>
    </row>
    <row r="33" spans="2:3" x14ac:dyDescent="0.25">
      <c r="B33" s="84"/>
      <c r="C33" s="84"/>
    </row>
    <row r="34" spans="2:3" x14ac:dyDescent="0.25">
      <c r="B34" s="84"/>
      <c r="C34" s="84"/>
    </row>
    <row r="35" spans="2:3" x14ac:dyDescent="0.25">
      <c r="B35" s="84"/>
      <c r="C35" s="84"/>
    </row>
    <row r="36" spans="2:3" x14ac:dyDescent="0.25">
      <c r="B36" s="84"/>
      <c r="C36" s="84"/>
    </row>
    <row r="37" spans="2:3" x14ac:dyDescent="0.25">
      <c r="B37" s="84"/>
      <c r="C37" s="84"/>
    </row>
    <row r="38" spans="2:3" x14ac:dyDescent="0.25">
      <c r="B38" s="84"/>
      <c r="C38" s="84"/>
    </row>
    <row r="39" spans="2:3" x14ac:dyDescent="0.25">
      <c r="B39" s="84"/>
      <c r="C39" s="84"/>
    </row>
    <row r="40" spans="2:3" x14ac:dyDescent="0.25">
      <c r="B40" s="84"/>
      <c r="C40" s="84"/>
    </row>
    <row r="41" spans="2:3" x14ac:dyDescent="0.25">
      <c r="B41" s="84"/>
      <c r="C41" s="84"/>
    </row>
    <row r="42" spans="2:3" x14ac:dyDescent="0.25">
      <c r="B42" s="84"/>
      <c r="C42" s="84"/>
    </row>
  </sheetData>
  <pageMargins left="0.75" right="0.75" top="1" bottom="1" header="0.511811023622047" footer="0.511811023622047"/>
  <pageSetup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showGridLines="0" zoomScale="79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4" style="32" bestFit="1" customWidth="1"/>
    <col min="2" max="2" width="16.88671875" style="24" bestFit="1" customWidth="1"/>
    <col min="3" max="3" width="27.21875" style="24" bestFit="1" customWidth="1"/>
    <col min="4" max="5" width="20.77734375" style="26" bestFit="1" customWidth="1"/>
    <col min="6" max="6" width="20.33203125" style="27" bestFit="1" customWidth="1"/>
    <col min="7" max="7" width="11.21875" style="24" bestFit="1" customWidth="1"/>
    <col min="8" max="8" width="65.77734375" style="24" bestFit="1" customWidth="1"/>
    <col min="9" max="9" width="18.77734375" style="24" bestFit="1" customWidth="1"/>
    <col min="10" max="10" width="14.44140625" style="24" bestFit="1" customWidth="1"/>
    <col min="11" max="11" width="15.77734375" style="24" bestFit="1" customWidth="1"/>
  </cols>
  <sheetData>
    <row r="1" spans="1:11" x14ac:dyDescent="0.3">
      <c r="A1" s="61" t="s">
        <v>71</v>
      </c>
      <c r="B1" s="62" t="s">
        <v>124</v>
      </c>
      <c r="C1" s="62" t="s">
        <v>125</v>
      </c>
      <c r="D1" s="63" t="s">
        <v>72</v>
      </c>
      <c r="E1" s="63" t="s">
        <v>73</v>
      </c>
      <c r="F1" s="64" t="s">
        <v>74</v>
      </c>
      <c r="G1" s="62" t="s">
        <v>126</v>
      </c>
      <c r="H1" s="62" t="s">
        <v>127</v>
      </c>
      <c r="I1" s="62" t="s">
        <v>128</v>
      </c>
      <c r="J1" s="62" t="s">
        <v>6</v>
      </c>
      <c r="K1" s="71" t="s">
        <v>13</v>
      </c>
    </row>
    <row r="2" spans="1:11" x14ac:dyDescent="0.3">
      <c r="A2" s="69">
        <v>46208</v>
      </c>
      <c r="B2" s="29" t="s">
        <v>129</v>
      </c>
      <c r="C2" s="29" t="s">
        <v>130</v>
      </c>
      <c r="D2" s="70">
        <v>8.3333333333333329E-2</v>
      </c>
      <c r="E2" s="70">
        <v>0.14583333333333334</v>
      </c>
      <c r="F2" s="28">
        <v>1.5</v>
      </c>
      <c r="G2" s="29" t="s">
        <v>11</v>
      </c>
      <c r="H2" s="29" t="s">
        <v>131</v>
      </c>
      <c r="I2" s="29" t="s">
        <v>132</v>
      </c>
      <c r="J2" s="29" t="s">
        <v>111</v>
      </c>
      <c r="K2" s="60" t="s">
        <v>17</v>
      </c>
    </row>
    <row r="3" spans="1:11" x14ac:dyDescent="0.3">
      <c r="A3" s="59">
        <v>46215</v>
      </c>
      <c r="B3" s="29" t="s">
        <v>133</v>
      </c>
      <c r="C3" s="29" t="s">
        <v>134</v>
      </c>
      <c r="D3" s="25">
        <v>0.29166666666666669</v>
      </c>
      <c r="E3" s="25">
        <v>0.73958333333333337</v>
      </c>
      <c r="F3" s="28">
        <v>27</v>
      </c>
      <c r="G3" s="29" t="s">
        <v>7</v>
      </c>
      <c r="H3" s="30" t="s">
        <v>135</v>
      </c>
      <c r="I3" s="29" t="s">
        <v>132</v>
      </c>
      <c r="J3" s="29" t="s">
        <v>111</v>
      </c>
      <c r="K3" s="60" t="s">
        <v>18</v>
      </c>
    </row>
    <row r="4" spans="1:11" x14ac:dyDescent="0.3">
      <c r="A4" s="65">
        <v>46218</v>
      </c>
      <c r="B4" s="38" t="s">
        <v>136</v>
      </c>
      <c r="C4" s="38" t="s">
        <v>137</v>
      </c>
      <c r="D4" s="66">
        <v>0.53125</v>
      </c>
      <c r="E4" s="66">
        <v>0.57638888888888884</v>
      </c>
      <c r="F4" s="39">
        <v>1.0832999999999999</v>
      </c>
      <c r="G4" s="38" t="s">
        <v>7</v>
      </c>
      <c r="H4" s="67" t="s">
        <v>138</v>
      </c>
      <c r="I4" s="38" t="s">
        <v>139</v>
      </c>
      <c r="J4" s="38" t="s">
        <v>111</v>
      </c>
      <c r="K4" s="68" t="s">
        <v>17</v>
      </c>
    </row>
    <row r="5" spans="1:11" ht="23.25" customHeight="1" x14ac:dyDescent="0.3"/>
    <row r="6" spans="1:11" ht="23.25" customHeight="1" x14ac:dyDescent="0.3"/>
    <row r="7" spans="1:11" ht="23.25" customHeight="1" x14ac:dyDescent="0.3"/>
    <row r="8" spans="1:11" ht="23.25" customHeight="1" x14ac:dyDescent="0.3"/>
    <row r="9" spans="1:11" ht="23.25" customHeight="1" x14ac:dyDescent="0.3"/>
    <row r="10" spans="1:11" ht="23.25" customHeight="1" x14ac:dyDescent="0.3"/>
    <row r="11" spans="1:11" ht="23.25" customHeight="1" x14ac:dyDescent="0.3"/>
    <row r="12" spans="1:11" ht="23.25" customHeight="1" x14ac:dyDescent="0.3"/>
    <row r="13" spans="1:11" ht="23.25" customHeight="1" x14ac:dyDescent="0.3"/>
    <row r="14" spans="1:11" ht="23.25" customHeight="1" x14ac:dyDescent="0.3"/>
    <row r="15" spans="1:11" ht="23.25" customHeight="1" x14ac:dyDescent="0.3"/>
    <row r="16" spans="1:11" ht="23.25" customHeight="1" x14ac:dyDescent="0.3"/>
    <row r="17" ht="23.25" customHeight="1" x14ac:dyDescent="0.3"/>
    <row r="18" ht="23.25" customHeight="1" x14ac:dyDescent="0.3"/>
    <row r="19" ht="23.25" customHeight="1" x14ac:dyDescent="0.3"/>
    <row r="20" ht="23.25" customHeight="1" x14ac:dyDescent="0.3"/>
    <row r="21" ht="23.25" customHeight="1" x14ac:dyDescent="0.3"/>
    <row r="22" ht="23.25" customHeight="1" x14ac:dyDescent="0.3"/>
    <row r="23" ht="23.25" customHeight="1" x14ac:dyDescent="0.3"/>
    <row r="24" ht="23.25" customHeight="1" x14ac:dyDescent="0.3"/>
    <row r="25" ht="23.25" customHeight="1" x14ac:dyDescent="0.3"/>
    <row r="26" ht="23.25" customHeight="1" x14ac:dyDescent="0.3"/>
    <row r="27" ht="23.25" customHeight="1" x14ac:dyDescent="0.3"/>
    <row r="28" ht="23.25" customHeight="1" x14ac:dyDescent="0.3"/>
    <row r="29" ht="23.25" customHeight="1" x14ac:dyDescent="0.3"/>
    <row r="30" ht="23.25" customHeight="1" x14ac:dyDescent="0.3"/>
    <row r="31" ht="23.25" customHeight="1" x14ac:dyDescent="0.3"/>
    <row r="32" ht="23.25" customHeight="1" x14ac:dyDescent="0.3"/>
    <row r="33" ht="23.25" customHeight="1" x14ac:dyDescent="0.3"/>
    <row r="34" ht="23.25" customHeight="1" x14ac:dyDescent="0.3"/>
    <row r="35" ht="23.25" customHeight="1" x14ac:dyDescent="0.3"/>
    <row r="36" ht="23.25" customHeight="1" x14ac:dyDescent="0.3"/>
    <row r="37" ht="23.25" customHeight="1" x14ac:dyDescent="0.3"/>
    <row r="38" ht="23.25" customHeight="1" x14ac:dyDescent="0.3"/>
    <row r="39" ht="23.25" customHeight="1" x14ac:dyDescent="0.3"/>
    <row r="40" ht="23.25" customHeight="1" x14ac:dyDescent="0.3"/>
    <row r="41" ht="23.25" customHeight="1" x14ac:dyDescent="0.3"/>
    <row r="42" ht="23.25" customHeight="1" x14ac:dyDescent="0.3"/>
    <row r="43" ht="23.25" customHeight="1" x14ac:dyDescent="0.3"/>
    <row r="44" ht="23.25" customHeight="1" x14ac:dyDescent="0.3"/>
    <row r="45" ht="23.25" customHeight="1" x14ac:dyDescent="0.3"/>
    <row r="46" ht="23.25" customHeight="1" x14ac:dyDescent="0.3"/>
    <row r="47" ht="23.25" customHeight="1" x14ac:dyDescent="0.3"/>
    <row r="48" ht="23.25" customHeight="1" x14ac:dyDescent="0.3"/>
    <row r="49" ht="23.25" customHeight="1" x14ac:dyDescent="0.3"/>
    <row r="50" ht="23.25" customHeight="1" x14ac:dyDescent="0.3"/>
    <row r="51" ht="23.25" customHeight="1" x14ac:dyDescent="0.3"/>
    <row r="52" ht="23.25" customHeight="1" x14ac:dyDescent="0.3"/>
    <row r="53" ht="23.25" customHeight="1" x14ac:dyDescent="0.3"/>
    <row r="54" ht="23.25" customHeight="1" x14ac:dyDescent="0.3"/>
    <row r="55" ht="23.25" customHeight="1" x14ac:dyDescent="0.3"/>
    <row r="56" ht="23.25" customHeight="1" x14ac:dyDescent="0.3"/>
    <row r="57" ht="23.25" customHeight="1" x14ac:dyDescent="0.3"/>
    <row r="58" ht="23.25" customHeight="1" x14ac:dyDescent="0.3"/>
    <row r="59" ht="23.25" customHeight="1" x14ac:dyDescent="0.3"/>
    <row r="60" ht="23.25" customHeight="1" x14ac:dyDescent="0.3"/>
    <row r="61" ht="23.25" customHeight="1" x14ac:dyDescent="0.3"/>
    <row r="62" ht="23.25" customHeight="1" x14ac:dyDescent="0.3"/>
    <row r="63" ht="23.25" customHeight="1" x14ac:dyDescent="0.3"/>
    <row r="64" ht="23.25" customHeight="1" x14ac:dyDescent="0.3"/>
    <row r="65" ht="23.25" customHeight="1" x14ac:dyDescent="0.3"/>
    <row r="66" ht="23.25" customHeight="1" x14ac:dyDescent="0.3"/>
    <row r="67" ht="23.25" customHeight="1" x14ac:dyDescent="0.3"/>
    <row r="68" ht="23.25" customHeight="1" x14ac:dyDescent="0.3"/>
    <row r="69" ht="23.25" customHeight="1" x14ac:dyDescent="0.3"/>
    <row r="70" ht="23.25" customHeight="1" x14ac:dyDescent="0.3"/>
    <row r="71" ht="23.25" customHeight="1" x14ac:dyDescent="0.3"/>
    <row r="72" ht="23.25" customHeight="1" x14ac:dyDescent="0.3"/>
    <row r="73" ht="23.25" customHeight="1" x14ac:dyDescent="0.3"/>
    <row r="74" ht="23.25" customHeight="1" x14ac:dyDescent="0.3"/>
    <row r="75" ht="23.25" customHeight="1" x14ac:dyDescent="0.3"/>
    <row r="76" ht="23.25" customHeight="1" x14ac:dyDescent="0.3"/>
    <row r="77" ht="23.25" customHeight="1" x14ac:dyDescent="0.3"/>
    <row r="78" ht="23.25" customHeight="1" x14ac:dyDescent="0.3"/>
    <row r="79" ht="23.25" customHeight="1" x14ac:dyDescent="0.3"/>
    <row r="80" ht="23.25" customHeight="1" x14ac:dyDescent="0.3"/>
    <row r="81" ht="23.25" customHeight="1" x14ac:dyDescent="0.3"/>
    <row r="82" ht="23.25" customHeight="1" x14ac:dyDescent="0.3"/>
    <row r="83" ht="23.25" customHeight="1" x14ac:dyDescent="0.3"/>
    <row r="84" ht="23.25" customHeight="1" x14ac:dyDescent="0.3"/>
    <row r="85" ht="23.25" customHeight="1" x14ac:dyDescent="0.3"/>
    <row r="86" ht="23.25" customHeight="1" x14ac:dyDescent="0.3"/>
    <row r="87" ht="23.25" customHeight="1" x14ac:dyDescent="0.3"/>
    <row r="88" ht="23.25" customHeight="1" x14ac:dyDescent="0.3"/>
    <row r="89" ht="23.25" customHeight="1" x14ac:dyDescent="0.3"/>
    <row r="90" ht="23.25" customHeight="1" x14ac:dyDescent="0.3"/>
    <row r="91" ht="23.25" customHeight="1" x14ac:dyDescent="0.3"/>
    <row r="92" ht="23.25" customHeight="1" x14ac:dyDescent="0.3"/>
    <row r="93" ht="23.25" customHeight="1" x14ac:dyDescent="0.3"/>
    <row r="94" ht="23.25" customHeight="1" x14ac:dyDescent="0.3"/>
    <row r="95" ht="23.25" customHeight="1" x14ac:dyDescent="0.3"/>
    <row r="96" ht="23.25" customHeight="1" x14ac:dyDescent="0.3"/>
    <row r="97" ht="23.25" customHeight="1" x14ac:dyDescent="0.3"/>
    <row r="98" ht="23.25" customHeight="1" x14ac:dyDescent="0.3"/>
    <row r="99" ht="23.25" customHeight="1" x14ac:dyDescent="0.3"/>
    <row r="100" ht="23.25" customHeight="1" x14ac:dyDescent="0.3"/>
  </sheetData>
  <conditionalFormatting sqref="A2:J100">
    <cfRule type="expression" dxfId="12" priority="6">
      <formula>$G2="High"</formula>
    </cfRule>
    <cfRule type="expression" dxfId="11" priority="7">
      <formula>$J2="No"</formula>
    </cfRule>
  </conditionalFormatting>
  <conditionalFormatting sqref="K3">
    <cfRule type="expression" dxfId="10" priority="3">
      <formula>$G3="High"</formula>
    </cfRule>
    <cfRule type="expression" dxfId="9" priority="4">
      <formula>$J3="No"</formula>
    </cfRule>
  </conditionalFormatting>
  <conditionalFormatting sqref="K4">
    <cfRule type="expression" dxfId="8" priority="1">
      <formula>$G4="High"</formula>
    </cfRule>
    <cfRule type="expression" dxfId="7" priority="2">
      <formula>$J4="No"</formula>
    </cfRule>
  </conditionalFormatting>
  <dataValidations count="3">
    <dataValidation type="list" allowBlank="1" sqref="G2:G100" xr:uid="{00000000-0002-0000-0700-000000000000}">
      <formula1>"High,Medium,Low"</formula1>
      <formula2>0</formula2>
    </dataValidation>
    <dataValidation type="list" allowBlank="1" sqref="J2:J100" xr:uid="{00000000-0002-0000-0700-000001000000}">
      <formula1>"Yes,No,Partial"</formula1>
      <formula2>0</formula2>
    </dataValidation>
    <dataValidation type="list" allowBlank="1" sqref="K2:K100" xr:uid="{00000000-0002-0000-0700-000002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5.5546875" style="19" bestFit="1" customWidth="1"/>
    <col min="2" max="2" width="21.109375" style="19" bestFit="1" customWidth="1"/>
    <col min="3" max="3" width="15.44140625" style="19" bestFit="1" customWidth="1"/>
    <col min="4" max="4" width="21.44140625" style="19" bestFit="1" customWidth="1"/>
    <col min="5" max="5" width="16.44140625" style="19" customWidth="1"/>
    <col min="6" max="6" width="15.77734375" style="19" bestFit="1" customWidth="1"/>
    <col min="7" max="7" width="13.21875" style="19" bestFit="1" customWidth="1"/>
  </cols>
  <sheetData>
    <row r="1" spans="1:7" x14ac:dyDescent="0.3">
      <c r="A1" s="74" t="s">
        <v>148</v>
      </c>
      <c r="B1" s="75" t="s">
        <v>153</v>
      </c>
      <c r="C1" s="75" t="s">
        <v>154</v>
      </c>
      <c r="D1" s="75" t="s">
        <v>155</v>
      </c>
      <c r="E1" s="75" t="s">
        <v>140</v>
      </c>
      <c r="F1" s="75" t="s">
        <v>156</v>
      </c>
      <c r="G1" s="76" t="s">
        <v>13</v>
      </c>
    </row>
    <row r="2" spans="1:7" x14ac:dyDescent="0.3">
      <c r="A2" s="72" t="s">
        <v>152</v>
      </c>
      <c r="B2" s="34">
        <v>39.86</v>
      </c>
      <c r="C2" s="34">
        <v>20</v>
      </c>
      <c r="D2" s="34">
        <v>20</v>
      </c>
      <c r="E2" s="34" t="s">
        <v>177</v>
      </c>
      <c r="F2" s="34">
        <v>0</v>
      </c>
      <c r="G2" s="73" t="s">
        <v>18</v>
      </c>
    </row>
    <row r="9" spans="1:7" ht="18" customHeight="1" x14ac:dyDescent="0.3"/>
    <row r="10" spans="1:7" ht="18" customHeight="1" x14ac:dyDescent="0.3"/>
    <row r="11" spans="1:7" ht="18" customHeight="1" x14ac:dyDescent="0.3"/>
    <row r="12" spans="1:7" ht="18" customHeight="1" x14ac:dyDescent="0.3"/>
    <row r="13" spans="1:7" ht="18" customHeight="1" x14ac:dyDescent="0.3"/>
    <row r="14" spans="1:7" ht="18" customHeight="1" x14ac:dyDescent="0.3"/>
    <row r="15" spans="1:7" ht="18" customHeight="1" x14ac:dyDescent="0.3"/>
    <row r="16" spans="1:7" ht="18" customHeight="1" x14ac:dyDescent="0.3"/>
    <row r="17" ht="18" customHeight="1" x14ac:dyDescent="0.3"/>
    <row r="18" ht="18" customHeight="1" x14ac:dyDescent="0.3"/>
    <row r="19" ht="18" customHeight="1" x14ac:dyDescent="0.3"/>
    <row r="20" ht="18" customHeight="1" x14ac:dyDescent="0.3"/>
    <row r="21" ht="18" customHeight="1" x14ac:dyDescent="0.3"/>
    <row r="22" ht="18" customHeight="1" x14ac:dyDescent="0.3"/>
    <row r="23" ht="18" customHeight="1" x14ac:dyDescent="0.3"/>
    <row r="24" ht="18" customHeight="1" x14ac:dyDescent="0.3"/>
    <row r="25" ht="18" customHeight="1" x14ac:dyDescent="0.3"/>
    <row r="26" ht="18" customHeight="1" x14ac:dyDescent="0.3"/>
    <row r="27" ht="18" customHeight="1" x14ac:dyDescent="0.3"/>
    <row r="28" ht="18" customHeight="1" x14ac:dyDescent="0.3"/>
    <row r="29" ht="18" customHeight="1" x14ac:dyDescent="0.3"/>
    <row r="30" ht="18" customHeight="1" x14ac:dyDescent="0.3"/>
    <row r="31" ht="18" customHeight="1" x14ac:dyDescent="0.3"/>
    <row r="32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</sheetData>
  <conditionalFormatting sqref="C2">
    <cfRule type="cellIs" dxfId="6" priority="2" operator="greaterThan">
      <formula>85</formula>
    </cfRule>
  </conditionalFormatting>
  <conditionalFormatting sqref="D2">
    <cfRule type="cellIs" dxfId="5" priority="3" operator="greaterThan">
      <formula>90</formula>
    </cfRule>
  </conditionalFormatting>
  <conditionalFormatting sqref="C3:C94">
    <cfRule type="cellIs" dxfId="4" priority="4" operator="greaterThan">
      <formula>85</formula>
    </cfRule>
  </conditionalFormatting>
  <conditionalFormatting sqref="D3:D94">
    <cfRule type="cellIs" dxfId="3" priority="5" operator="greaterThan">
      <formula>90</formula>
    </cfRule>
  </conditionalFormatting>
  <dataValidations count="1">
    <dataValidation type="list" allowBlank="1" sqref="G2:G94" xr:uid="{00000000-0002-0000-0800-000000000000}">
      <formula1>"Oracle,MySQL,MS SQL Server,PostgreSQL"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99B72-6A14-4BD9-B705-AB91054B37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Charts</vt:lpstr>
      <vt:lpstr>Dashboard</vt:lpstr>
      <vt:lpstr>Incident Register</vt:lpstr>
      <vt:lpstr>Replication Monitor</vt:lpstr>
      <vt:lpstr>Backup &amp; Recovery</vt:lpstr>
      <vt:lpstr>Server Health</vt:lpstr>
      <vt:lpstr>Availability Calculator</vt:lpstr>
      <vt:lpstr>Maintenance Register</vt:lpstr>
      <vt:lpstr>Capacity Planning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Ashley Atim</cp:lastModifiedBy>
  <cp:revision>31</cp:revision>
  <cp:lastPrinted>2026-07-18T17:06:51Z</cp:lastPrinted>
  <dcterms:created xsi:type="dcterms:W3CDTF">2026-07-12T17:49:37Z</dcterms:created>
  <dcterms:modified xsi:type="dcterms:W3CDTF">2026-07-24T06:06:26Z</dcterms:modified>
  <dc:language>en-US</dc:language>
</cp:coreProperties>
</file>